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คะแนนรายบุคคล" sheetId="1" state="visible" r:id="rId1"/>
    <sheet name="Dashboard" sheetId="2" state="visible" r:id="rId2"/>
    <sheet name="เกณฑ์คะแนน" sheetId="3" state="visible" r:id="rId3"/>
    <sheet name="นำเข้าระบ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Noto Sans Thai"/>
      <b val="1"/>
      <color rgb="00FFFFFF"/>
      <sz val="15"/>
    </font>
    <font>
      <name val="Noto Sans Thai"/>
      <b val="1"/>
    </font>
    <font>
      <name val="Noto Sans Thai"/>
      <b val="1"/>
      <color rgb="00FFFFFF"/>
      <sz val="11"/>
    </font>
    <font>
      <name val="Noto Sans Thai"/>
      <sz val="10"/>
    </font>
    <font>
      <name val="Noto Sans Thai"/>
      <b val="1"/>
      <color rgb="00FFFFFF"/>
      <sz val="14"/>
    </font>
    <font>
      <name val="Noto Sans Thai"/>
      <b val="1"/>
      <color rgb="00FFFFFF"/>
      <sz val="16"/>
    </font>
    <font>
      <name val="Noto Sans Thai"/>
      <b val="1"/>
      <sz val="15"/>
    </font>
  </fonts>
  <fills count="6">
    <fill>
      <patternFill/>
    </fill>
    <fill>
      <patternFill patternType="gray125"/>
    </fill>
    <fill>
      <patternFill patternType="solid">
        <fgColor rgb="00123B46"/>
      </patternFill>
    </fill>
    <fill>
      <patternFill patternType="solid">
        <fgColor rgb="00DFF1F4"/>
      </patternFill>
    </fill>
    <fill>
      <patternFill patternType="solid">
        <fgColor rgb="000F6B78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Post-test เฉลี่ยรายกลุ่ม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'Dashboard'!D8</f>
            </strRef>
          </tx>
          <spPr>
            <a:ln>
              <a:prstDash val="solid"/>
            </a:ln>
          </spPr>
          <cat>
            <numRef>
              <f>'Dashboard'!$A$9:$A$16</f>
            </numRef>
          </cat>
          <val>
            <numRef>
              <f>'Dashboard'!$D$9:$D$16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กลุ่ม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เปอร์เซ็นต์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9" customWidth="1" min="3" max="3"/>
    <col width="8" customWidth="1" min="4" max="4"/>
    <col width="9" customWidth="1" min="5" max="5"/>
    <col width="9" customWidth="1" min="6" max="6"/>
    <col width="9" customWidth="1" min="7" max="7"/>
    <col width="9" customWidth="1" min="8" max="8"/>
    <col width="11" customWidth="1" min="9" max="9"/>
    <col width="15" customWidth="1" min="10" max="10"/>
    <col width="13" customWidth="1" min="11" max="11"/>
    <col width="13" customWidth="1" min="12" max="12"/>
    <col width="13" customWidth="1" min="13" max="13"/>
    <col width="15" customWidth="1" min="14" max="14"/>
    <col width="12" customWidth="1" min="15" max="15"/>
    <col width="13" customWidth="1" min="16" max="16"/>
    <col width="14" customWidth="1" min="17" max="17"/>
    <col width="12" customWidth="1" min="18" max="18"/>
    <col width="12" customWidth="1" min="19" max="19"/>
    <col width="22" customWidth="1" min="20" max="20"/>
  </cols>
  <sheetData>
    <row r="1">
      <c r="A1" s="1" t="inlineStr">
        <is>
          <t>แบบบันทึกคะแนนและสรุปผล — หน่วยที่ 3 การพัฒนาโครงงาน: AI to ESP32</t>
        </is>
      </c>
    </row>
    <row r="2">
      <c r="A2" s="2" t="inlineStr">
        <is>
          <t>ว31101 ม.4 | เลือกห้อง ม.4/1–ม.4/13 | Pre-test 10 ข้อ (วินิจฉัย) | ปฏิบัติ 90 + Post-test 10 = 100</t>
        </is>
      </c>
    </row>
    <row r="4" ht="42" customHeight="1">
      <c r="A4" s="3" t="inlineStr">
        <is>
          <t>เลขที่</t>
        </is>
      </c>
      <c r="B4" s="3" t="inlineStr">
        <is>
          <t>ชื่อ-สกุล</t>
        </is>
      </c>
      <c r="C4" s="3" t="inlineStr">
        <is>
          <t>ห้อง</t>
        </is>
      </c>
      <c r="D4" s="3" t="inlineStr">
        <is>
          <t>กลุ่ม</t>
        </is>
      </c>
      <c r="E4" s="3" t="inlineStr">
        <is>
          <t>Pre /10</t>
        </is>
      </c>
      <c r="F4" s="3" t="inlineStr">
        <is>
          <t>Pre %</t>
        </is>
      </c>
      <c r="G4" s="3" t="inlineStr">
        <is>
          <t>Post /10</t>
        </is>
      </c>
      <c r="H4" s="3" t="inlineStr">
        <is>
          <t>Post %</t>
        </is>
      </c>
      <c r="I4" s="3" t="inlineStr">
        <is>
          <t>ผล 70%</t>
        </is>
      </c>
      <c r="J4" s="3" t="inlineStr">
        <is>
          <t>พัฒนาการ (จุด%)</t>
        </is>
      </c>
      <c r="K4" s="3" t="inlineStr">
        <is>
          <t>AI/Browser /10</t>
        </is>
      </c>
      <c r="L4" s="3" t="inlineStr">
        <is>
          <t>ESP32/Output /10</t>
        </is>
      </c>
      <c r="M4" s="3" t="inlineStr">
        <is>
          <t>Integration /20</t>
        </is>
      </c>
      <c r="N4" s="3" t="inlineStr">
        <is>
          <t>System Flow+IPO /15</t>
        </is>
      </c>
      <c r="O4" s="3" t="inlineStr">
        <is>
          <t>Debugging /20</t>
        </is>
      </c>
      <c r="P4" s="3" t="inlineStr">
        <is>
          <t>Application /10</t>
        </is>
      </c>
      <c r="Q4" s="3" t="inlineStr">
        <is>
          <t>Collaborative /5</t>
        </is>
      </c>
      <c r="R4" s="3" t="inlineStr">
        <is>
          <t>ปฏิบัติ /90</t>
        </is>
      </c>
      <c r="S4" s="3" t="inlineStr">
        <is>
          <t>รวม /100</t>
        </is>
      </c>
      <c r="T4" s="3" t="inlineStr">
        <is>
          <t>หมายเหตุ</t>
        </is>
      </c>
    </row>
    <row r="5">
      <c r="A5" s="4" t="n">
        <v>1</v>
      </c>
      <c r="B5" s="5" t="n"/>
      <c r="C5" s="4" t="n"/>
      <c r="D5" s="4" t="n">
        <v>1</v>
      </c>
      <c r="E5" s="4" t="n"/>
      <c r="F5" s="4">
        <f>IF(E5="","",E5/10*100)</f>
        <v/>
      </c>
      <c r="G5" s="4" t="n"/>
      <c r="H5" s="4">
        <f>IF(G5="","",G5/10*100)</f>
        <v/>
      </c>
      <c r="I5" s="4">
        <f>IF(H5="","",IF(H5&gt;=70,"ผ่าน","ไม่ผ่าน"))</f>
        <v/>
      </c>
      <c r="J5" s="4">
        <f>IF(OR(F5="",H5=""),"",H5-F5)</f>
        <v/>
      </c>
      <c r="K5" s="4" t="n"/>
      <c r="L5" s="4" t="n"/>
      <c r="M5" s="4" t="n"/>
      <c r="N5" s="4" t="n"/>
      <c r="O5" s="4" t="n"/>
      <c r="P5" s="4" t="n"/>
      <c r="Q5" s="4" t="n"/>
      <c r="R5" s="4">
        <f>IF(COUNTA(K5:Q5)=0,"",SUM(K5:Q5))</f>
        <v/>
      </c>
      <c r="S5" s="4">
        <f>IF(OR(G5="",R5=""),"",G5+R5)</f>
        <v/>
      </c>
      <c r="T5" s="5" t="n"/>
    </row>
    <row r="6">
      <c r="A6" s="4" t="n">
        <v>2</v>
      </c>
      <c r="B6" s="5" t="n"/>
      <c r="C6" s="4" t="n"/>
      <c r="D6" s="4" t="n">
        <v>1</v>
      </c>
      <c r="E6" s="4" t="n"/>
      <c r="F6" s="4">
        <f>IF(E6="","",E6/10*100)</f>
        <v/>
      </c>
      <c r="G6" s="4" t="n"/>
      <c r="H6" s="4">
        <f>IF(G6="","",G6/10*100)</f>
        <v/>
      </c>
      <c r="I6" s="4">
        <f>IF(H6="","",IF(H6&gt;=70,"ผ่าน","ไม่ผ่าน"))</f>
        <v/>
      </c>
      <c r="J6" s="4">
        <f>IF(OR(F6="",H6=""),"",H6-F6)</f>
        <v/>
      </c>
      <c r="K6" s="4" t="n"/>
      <c r="L6" s="4" t="n"/>
      <c r="M6" s="4" t="n"/>
      <c r="N6" s="4" t="n"/>
      <c r="O6" s="4" t="n"/>
      <c r="P6" s="4" t="n"/>
      <c r="Q6" s="4" t="n"/>
      <c r="R6" s="4">
        <f>IF(COUNTA(K6:Q6)=0,"",SUM(K6:Q6))</f>
        <v/>
      </c>
      <c r="S6" s="4">
        <f>IF(OR(G6="",R6=""),"",G6+R6)</f>
        <v/>
      </c>
      <c r="T6" s="5" t="n"/>
    </row>
    <row r="7">
      <c r="A7" s="4" t="n">
        <v>3</v>
      </c>
      <c r="B7" s="5" t="n"/>
      <c r="C7" s="4" t="n"/>
      <c r="D7" s="4" t="n">
        <v>1</v>
      </c>
      <c r="E7" s="4" t="n"/>
      <c r="F7" s="4">
        <f>IF(E7="","",E7/10*100)</f>
        <v/>
      </c>
      <c r="G7" s="4" t="n"/>
      <c r="H7" s="4">
        <f>IF(G7="","",G7/10*100)</f>
        <v/>
      </c>
      <c r="I7" s="4">
        <f>IF(H7="","",IF(H7&gt;=70,"ผ่าน","ไม่ผ่าน"))</f>
        <v/>
      </c>
      <c r="J7" s="4">
        <f>IF(OR(F7="",H7=""),"",H7-F7)</f>
        <v/>
      </c>
      <c r="K7" s="4" t="n"/>
      <c r="L7" s="4" t="n"/>
      <c r="M7" s="4" t="n"/>
      <c r="N7" s="4" t="n"/>
      <c r="O7" s="4" t="n"/>
      <c r="P7" s="4" t="n"/>
      <c r="Q7" s="4" t="n"/>
      <c r="R7" s="4">
        <f>IF(COUNTA(K7:Q7)=0,"",SUM(K7:Q7))</f>
        <v/>
      </c>
      <c r="S7" s="4">
        <f>IF(OR(G7="",R7=""),"",G7+R7)</f>
        <v/>
      </c>
      <c r="T7" s="5" t="n"/>
    </row>
    <row r="8">
      <c r="A8" s="4" t="n">
        <v>4</v>
      </c>
      <c r="B8" s="5" t="n"/>
      <c r="C8" s="4" t="n"/>
      <c r="D8" s="4" t="n">
        <v>1</v>
      </c>
      <c r="E8" s="4" t="n"/>
      <c r="F8" s="4">
        <f>IF(E8="","",E8/10*100)</f>
        <v/>
      </c>
      <c r="G8" s="4" t="n"/>
      <c r="H8" s="4">
        <f>IF(G8="","",G8/10*100)</f>
        <v/>
      </c>
      <c r="I8" s="4">
        <f>IF(H8="","",IF(H8&gt;=70,"ผ่าน","ไม่ผ่าน"))</f>
        <v/>
      </c>
      <c r="J8" s="4">
        <f>IF(OR(F8="",H8=""),"",H8-F8)</f>
        <v/>
      </c>
      <c r="K8" s="4" t="n"/>
      <c r="L8" s="4" t="n"/>
      <c r="M8" s="4" t="n"/>
      <c r="N8" s="4" t="n"/>
      <c r="O8" s="4" t="n"/>
      <c r="P8" s="4" t="n"/>
      <c r="Q8" s="4" t="n"/>
      <c r="R8" s="4">
        <f>IF(COUNTA(K8:Q8)=0,"",SUM(K8:Q8))</f>
        <v/>
      </c>
      <c r="S8" s="4">
        <f>IF(OR(G8="",R8=""),"",G8+R8)</f>
        <v/>
      </c>
      <c r="T8" s="5" t="n"/>
    </row>
    <row r="9">
      <c r="A9" s="4" t="n">
        <v>5</v>
      </c>
      <c r="B9" s="5" t="n"/>
      <c r="C9" s="4" t="n"/>
      <c r="D9" s="4" t="n">
        <v>1</v>
      </c>
      <c r="E9" s="4" t="n"/>
      <c r="F9" s="4">
        <f>IF(E9="","",E9/10*100)</f>
        <v/>
      </c>
      <c r="G9" s="4" t="n"/>
      <c r="H9" s="4">
        <f>IF(G9="","",G9/10*100)</f>
        <v/>
      </c>
      <c r="I9" s="4">
        <f>IF(H9="","",IF(H9&gt;=70,"ผ่าน","ไม่ผ่าน"))</f>
        <v/>
      </c>
      <c r="J9" s="4">
        <f>IF(OR(F9="",H9=""),"",H9-F9)</f>
        <v/>
      </c>
      <c r="K9" s="4" t="n"/>
      <c r="L9" s="4" t="n"/>
      <c r="M9" s="4" t="n"/>
      <c r="N9" s="4" t="n"/>
      <c r="O9" s="4" t="n"/>
      <c r="P9" s="4" t="n"/>
      <c r="Q9" s="4" t="n"/>
      <c r="R9" s="4">
        <f>IF(COUNTA(K9:Q9)=0,"",SUM(K9:Q9))</f>
        <v/>
      </c>
      <c r="S9" s="4">
        <f>IF(OR(G9="",R9=""),"",G9+R9)</f>
        <v/>
      </c>
      <c r="T9" s="5" t="n"/>
    </row>
    <row r="10">
      <c r="A10" s="4" t="n">
        <v>6</v>
      </c>
      <c r="B10" s="5" t="n"/>
      <c r="C10" s="4" t="n"/>
      <c r="D10" s="4" t="n">
        <v>2</v>
      </c>
      <c r="E10" s="4" t="n"/>
      <c r="F10" s="4">
        <f>IF(E10="","",E10/10*100)</f>
        <v/>
      </c>
      <c r="G10" s="4" t="n"/>
      <c r="H10" s="4">
        <f>IF(G10="","",G10/10*100)</f>
        <v/>
      </c>
      <c r="I10" s="4">
        <f>IF(H10="","",IF(H10&gt;=70,"ผ่าน","ไม่ผ่าน"))</f>
        <v/>
      </c>
      <c r="J10" s="4">
        <f>IF(OR(F10="",H10=""),"",H10-F10)</f>
        <v/>
      </c>
      <c r="K10" s="4" t="n"/>
      <c r="L10" s="4" t="n"/>
      <c r="M10" s="4" t="n"/>
      <c r="N10" s="4" t="n"/>
      <c r="O10" s="4" t="n"/>
      <c r="P10" s="4" t="n"/>
      <c r="Q10" s="4" t="n"/>
      <c r="R10" s="4">
        <f>IF(COUNTA(K10:Q10)=0,"",SUM(K10:Q10))</f>
        <v/>
      </c>
      <c r="S10" s="4">
        <f>IF(OR(G10="",R10=""),"",G10+R10)</f>
        <v/>
      </c>
      <c r="T10" s="5" t="n"/>
    </row>
    <row r="11">
      <c r="A11" s="4" t="n">
        <v>7</v>
      </c>
      <c r="B11" s="5" t="n"/>
      <c r="C11" s="4" t="n"/>
      <c r="D11" s="4" t="n">
        <v>2</v>
      </c>
      <c r="E11" s="4" t="n"/>
      <c r="F11" s="4">
        <f>IF(E11="","",E11/10*100)</f>
        <v/>
      </c>
      <c r="G11" s="4" t="n"/>
      <c r="H11" s="4">
        <f>IF(G11="","",G11/10*100)</f>
        <v/>
      </c>
      <c r="I11" s="4">
        <f>IF(H11="","",IF(H11&gt;=70,"ผ่าน","ไม่ผ่าน"))</f>
        <v/>
      </c>
      <c r="J11" s="4">
        <f>IF(OR(F11="",H11=""),"",H11-F11)</f>
        <v/>
      </c>
      <c r="K11" s="4" t="n"/>
      <c r="L11" s="4" t="n"/>
      <c r="M11" s="4" t="n"/>
      <c r="N11" s="4" t="n"/>
      <c r="O11" s="4" t="n"/>
      <c r="P11" s="4" t="n"/>
      <c r="Q11" s="4" t="n"/>
      <c r="R11" s="4">
        <f>IF(COUNTA(K11:Q11)=0,"",SUM(K11:Q11))</f>
        <v/>
      </c>
      <c r="S11" s="4">
        <f>IF(OR(G11="",R11=""),"",G11+R11)</f>
        <v/>
      </c>
      <c r="T11" s="5" t="n"/>
    </row>
    <row r="12">
      <c r="A12" s="4" t="n">
        <v>8</v>
      </c>
      <c r="B12" s="5" t="n"/>
      <c r="C12" s="4" t="n"/>
      <c r="D12" s="4" t="n">
        <v>2</v>
      </c>
      <c r="E12" s="4" t="n"/>
      <c r="F12" s="4">
        <f>IF(E12="","",E12/10*100)</f>
        <v/>
      </c>
      <c r="G12" s="4" t="n"/>
      <c r="H12" s="4">
        <f>IF(G12="","",G12/10*100)</f>
        <v/>
      </c>
      <c r="I12" s="4">
        <f>IF(H12="","",IF(H12&gt;=70,"ผ่าน","ไม่ผ่าน"))</f>
        <v/>
      </c>
      <c r="J12" s="4">
        <f>IF(OR(F12="",H12=""),"",H12-F12)</f>
        <v/>
      </c>
      <c r="K12" s="4" t="n"/>
      <c r="L12" s="4" t="n"/>
      <c r="M12" s="4" t="n"/>
      <c r="N12" s="4" t="n"/>
      <c r="O12" s="4" t="n"/>
      <c r="P12" s="4" t="n"/>
      <c r="Q12" s="4" t="n"/>
      <c r="R12" s="4">
        <f>IF(COUNTA(K12:Q12)=0,"",SUM(K12:Q12))</f>
        <v/>
      </c>
      <c r="S12" s="4">
        <f>IF(OR(G12="",R12=""),"",G12+R12)</f>
        <v/>
      </c>
      <c r="T12" s="5" t="n"/>
    </row>
    <row r="13">
      <c r="A13" s="4" t="n">
        <v>9</v>
      </c>
      <c r="B13" s="5" t="n"/>
      <c r="C13" s="4" t="n"/>
      <c r="D13" s="4" t="n">
        <v>2</v>
      </c>
      <c r="E13" s="4" t="n"/>
      <c r="F13" s="4">
        <f>IF(E13="","",E13/10*100)</f>
        <v/>
      </c>
      <c r="G13" s="4" t="n"/>
      <c r="H13" s="4">
        <f>IF(G13="","",G13/10*100)</f>
        <v/>
      </c>
      <c r="I13" s="4">
        <f>IF(H13="","",IF(H13&gt;=70,"ผ่าน","ไม่ผ่าน"))</f>
        <v/>
      </c>
      <c r="J13" s="4">
        <f>IF(OR(F13="",H13=""),"",H13-F13)</f>
        <v/>
      </c>
      <c r="K13" s="4" t="n"/>
      <c r="L13" s="4" t="n"/>
      <c r="M13" s="4" t="n"/>
      <c r="N13" s="4" t="n"/>
      <c r="O13" s="4" t="n"/>
      <c r="P13" s="4" t="n"/>
      <c r="Q13" s="4" t="n"/>
      <c r="R13" s="4">
        <f>IF(COUNTA(K13:Q13)=0,"",SUM(K13:Q13))</f>
        <v/>
      </c>
      <c r="S13" s="4">
        <f>IF(OR(G13="",R13=""),"",G13+R13)</f>
        <v/>
      </c>
      <c r="T13" s="5" t="n"/>
    </row>
    <row r="14">
      <c r="A14" s="4" t="n">
        <v>10</v>
      </c>
      <c r="B14" s="5" t="n"/>
      <c r="C14" s="4" t="n"/>
      <c r="D14" s="4" t="n">
        <v>2</v>
      </c>
      <c r="E14" s="4" t="n"/>
      <c r="F14" s="4">
        <f>IF(E14="","",E14/10*100)</f>
        <v/>
      </c>
      <c r="G14" s="4" t="n"/>
      <c r="H14" s="4">
        <f>IF(G14="","",G14/10*100)</f>
        <v/>
      </c>
      <c r="I14" s="4">
        <f>IF(H14="","",IF(H14&gt;=70,"ผ่าน","ไม่ผ่าน"))</f>
        <v/>
      </c>
      <c r="J14" s="4">
        <f>IF(OR(F14="",H14=""),"",H14-F14)</f>
        <v/>
      </c>
      <c r="K14" s="4" t="n"/>
      <c r="L14" s="4" t="n"/>
      <c r="M14" s="4" t="n"/>
      <c r="N14" s="4" t="n"/>
      <c r="O14" s="4" t="n"/>
      <c r="P14" s="4" t="n"/>
      <c r="Q14" s="4" t="n"/>
      <c r="R14" s="4">
        <f>IF(COUNTA(K14:Q14)=0,"",SUM(K14:Q14))</f>
        <v/>
      </c>
      <c r="S14" s="4">
        <f>IF(OR(G14="",R14=""),"",G14+R14)</f>
        <v/>
      </c>
      <c r="T14" s="5" t="n"/>
    </row>
    <row r="15">
      <c r="A15" s="4" t="n">
        <v>11</v>
      </c>
      <c r="B15" s="5" t="n"/>
      <c r="C15" s="4" t="n"/>
      <c r="D15" s="4" t="n">
        <v>3</v>
      </c>
      <c r="E15" s="4" t="n"/>
      <c r="F15" s="4">
        <f>IF(E15="","",E15/10*100)</f>
        <v/>
      </c>
      <c r="G15" s="4" t="n"/>
      <c r="H15" s="4">
        <f>IF(G15="","",G15/10*100)</f>
        <v/>
      </c>
      <c r="I15" s="4">
        <f>IF(H15="","",IF(H15&gt;=70,"ผ่าน","ไม่ผ่าน"))</f>
        <v/>
      </c>
      <c r="J15" s="4">
        <f>IF(OR(F15="",H15=""),"",H15-F15)</f>
        <v/>
      </c>
      <c r="K15" s="4" t="n"/>
      <c r="L15" s="4" t="n"/>
      <c r="M15" s="4" t="n"/>
      <c r="N15" s="4" t="n"/>
      <c r="O15" s="4" t="n"/>
      <c r="P15" s="4" t="n"/>
      <c r="Q15" s="4" t="n"/>
      <c r="R15" s="4">
        <f>IF(COUNTA(K15:Q15)=0,"",SUM(K15:Q15))</f>
        <v/>
      </c>
      <c r="S15" s="4">
        <f>IF(OR(G15="",R15=""),"",G15+R15)</f>
        <v/>
      </c>
      <c r="T15" s="5" t="n"/>
    </row>
    <row r="16">
      <c r="A16" s="4" t="n">
        <v>12</v>
      </c>
      <c r="B16" s="5" t="n"/>
      <c r="C16" s="4" t="n"/>
      <c r="D16" s="4" t="n">
        <v>3</v>
      </c>
      <c r="E16" s="4" t="n"/>
      <c r="F16" s="4">
        <f>IF(E16="","",E16/10*100)</f>
        <v/>
      </c>
      <c r="G16" s="4" t="n"/>
      <c r="H16" s="4">
        <f>IF(G16="","",G16/10*100)</f>
        <v/>
      </c>
      <c r="I16" s="4">
        <f>IF(H16="","",IF(H16&gt;=70,"ผ่าน","ไม่ผ่าน"))</f>
        <v/>
      </c>
      <c r="J16" s="4">
        <f>IF(OR(F16="",H16=""),"",H16-F16)</f>
        <v/>
      </c>
      <c r="K16" s="4" t="n"/>
      <c r="L16" s="4" t="n"/>
      <c r="M16" s="4" t="n"/>
      <c r="N16" s="4" t="n"/>
      <c r="O16" s="4" t="n"/>
      <c r="P16" s="4" t="n"/>
      <c r="Q16" s="4" t="n"/>
      <c r="R16" s="4">
        <f>IF(COUNTA(K16:Q16)=0,"",SUM(K16:Q16))</f>
        <v/>
      </c>
      <c r="S16" s="4">
        <f>IF(OR(G16="",R16=""),"",G16+R16)</f>
        <v/>
      </c>
      <c r="T16" s="5" t="n"/>
    </row>
    <row r="17">
      <c r="A17" s="4" t="n">
        <v>13</v>
      </c>
      <c r="B17" s="5" t="n"/>
      <c r="C17" s="4" t="n"/>
      <c r="D17" s="4" t="n">
        <v>3</v>
      </c>
      <c r="E17" s="4" t="n"/>
      <c r="F17" s="4">
        <f>IF(E17="","",E17/10*100)</f>
        <v/>
      </c>
      <c r="G17" s="4" t="n"/>
      <c r="H17" s="4">
        <f>IF(G17="","",G17/10*100)</f>
        <v/>
      </c>
      <c r="I17" s="4">
        <f>IF(H17="","",IF(H17&gt;=70,"ผ่าน","ไม่ผ่าน"))</f>
        <v/>
      </c>
      <c r="J17" s="4">
        <f>IF(OR(F17="",H17=""),"",H17-F17)</f>
        <v/>
      </c>
      <c r="K17" s="4" t="n"/>
      <c r="L17" s="4" t="n"/>
      <c r="M17" s="4" t="n"/>
      <c r="N17" s="4" t="n"/>
      <c r="O17" s="4" t="n"/>
      <c r="P17" s="4" t="n"/>
      <c r="Q17" s="4" t="n"/>
      <c r="R17" s="4">
        <f>IF(COUNTA(K17:Q17)=0,"",SUM(K17:Q17))</f>
        <v/>
      </c>
      <c r="S17" s="4">
        <f>IF(OR(G17="",R17=""),"",G17+R17)</f>
        <v/>
      </c>
      <c r="T17" s="5" t="n"/>
    </row>
    <row r="18">
      <c r="A18" s="4" t="n">
        <v>14</v>
      </c>
      <c r="B18" s="5" t="n"/>
      <c r="C18" s="4" t="n"/>
      <c r="D18" s="4" t="n">
        <v>3</v>
      </c>
      <c r="E18" s="4" t="n"/>
      <c r="F18" s="4">
        <f>IF(E18="","",E18/10*100)</f>
        <v/>
      </c>
      <c r="G18" s="4" t="n"/>
      <c r="H18" s="4">
        <f>IF(G18="","",G18/10*100)</f>
        <v/>
      </c>
      <c r="I18" s="4">
        <f>IF(H18="","",IF(H18&gt;=70,"ผ่าน","ไม่ผ่าน"))</f>
        <v/>
      </c>
      <c r="J18" s="4">
        <f>IF(OR(F18="",H18=""),"",H18-F18)</f>
        <v/>
      </c>
      <c r="K18" s="4" t="n"/>
      <c r="L18" s="4" t="n"/>
      <c r="M18" s="4" t="n"/>
      <c r="N18" s="4" t="n"/>
      <c r="O18" s="4" t="n"/>
      <c r="P18" s="4" t="n"/>
      <c r="Q18" s="4" t="n"/>
      <c r="R18" s="4">
        <f>IF(COUNTA(K18:Q18)=0,"",SUM(K18:Q18))</f>
        <v/>
      </c>
      <c r="S18" s="4">
        <f>IF(OR(G18="",R18=""),"",G18+R18)</f>
        <v/>
      </c>
      <c r="T18" s="5" t="n"/>
    </row>
    <row r="19">
      <c r="A19" s="4" t="n">
        <v>15</v>
      </c>
      <c r="B19" s="5" t="n"/>
      <c r="C19" s="4" t="n"/>
      <c r="D19" s="4" t="n">
        <v>3</v>
      </c>
      <c r="E19" s="4" t="n"/>
      <c r="F19" s="4">
        <f>IF(E19="","",E19/10*100)</f>
        <v/>
      </c>
      <c r="G19" s="4" t="n"/>
      <c r="H19" s="4">
        <f>IF(G19="","",G19/10*100)</f>
        <v/>
      </c>
      <c r="I19" s="4">
        <f>IF(H19="","",IF(H19&gt;=70,"ผ่าน","ไม่ผ่าน"))</f>
        <v/>
      </c>
      <c r="J19" s="4">
        <f>IF(OR(F19="",H19=""),"",H19-F19)</f>
        <v/>
      </c>
      <c r="K19" s="4" t="n"/>
      <c r="L19" s="4" t="n"/>
      <c r="M19" s="4" t="n"/>
      <c r="N19" s="4" t="n"/>
      <c r="O19" s="4" t="n"/>
      <c r="P19" s="4" t="n"/>
      <c r="Q19" s="4" t="n"/>
      <c r="R19" s="4">
        <f>IF(COUNTA(K19:Q19)=0,"",SUM(K19:Q19))</f>
        <v/>
      </c>
      <c r="S19" s="4">
        <f>IF(OR(G19="",R19=""),"",G19+R19)</f>
        <v/>
      </c>
      <c r="T19" s="5" t="n"/>
    </row>
    <row r="20">
      <c r="A20" s="4" t="n">
        <v>16</v>
      </c>
      <c r="B20" s="5" t="n"/>
      <c r="C20" s="4" t="n"/>
      <c r="D20" s="4" t="n">
        <v>4</v>
      </c>
      <c r="E20" s="4" t="n"/>
      <c r="F20" s="4">
        <f>IF(E20="","",E20/10*100)</f>
        <v/>
      </c>
      <c r="G20" s="4" t="n"/>
      <c r="H20" s="4">
        <f>IF(G20="","",G20/10*100)</f>
        <v/>
      </c>
      <c r="I20" s="4">
        <f>IF(H20="","",IF(H20&gt;=70,"ผ่าน","ไม่ผ่าน"))</f>
        <v/>
      </c>
      <c r="J20" s="4">
        <f>IF(OR(F20="",H20=""),"",H20-F20)</f>
        <v/>
      </c>
      <c r="K20" s="4" t="n"/>
      <c r="L20" s="4" t="n"/>
      <c r="M20" s="4" t="n"/>
      <c r="N20" s="4" t="n"/>
      <c r="O20" s="4" t="n"/>
      <c r="P20" s="4" t="n"/>
      <c r="Q20" s="4" t="n"/>
      <c r="R20" s="4">
        <f>IF(COUNTA(K20:Q20)=0,"",SUM(K20:Q20))</f>
        <v/>
      </c>
      <c r="S20" s="4">
        <f>IF(OR(G20="",R20=""),"",G20+R20)</f>
        <v/>
      </c>
      <c r="T20" s="5" t="n"/>
    </row>
    <row r="21">
      <c r="A21" s="4" t="n">
        <v>17</v>
      </c>
      <c r="B21" s="5" t="n"/>
      <c r="C21" s="4" t="n"/>
      <c r="D21" s="4" t="n">
        <v>4</v>
      </c>
      <c r="E21" s="4" t="n"/>
      <c r="F21" s="4">
        <f>IF(E21="","",E21/10*100)</f>
        <v/>
      </c>
      <c r="G21" s="4" t="n"/>
      <c r="H21" s="4">
        <f>IF(G21="","",G21/10*100)</f>
        <v/>
      </c>
      <c r="I21" s="4">
        <f>IF(H21="","",IF(H21&gt;=70,"ผ่าน","ไม่ผ่าน"))</f>
        <v/>
      </c>
      <c r="J21" s="4">
        <f>IF(OR(F21="",H21=""),"",H21-F21)</f>
        <v/>
      </c>
      <c r="K21" s="4" t="n"/>
      <c r="L21" s="4" t="n"/>
      <c r="M21" s="4" t="n"/>
      <c r="N21" s="4" t="n"/>
      <c r="O21" s="4" t="n"/>
      <c r="P21" s="4" t="n"/>
      <c r="Q21" s="4" t="n"/>
      <c r="R21" s="4">
        <f>IF(COUNTA(K21:Q21)=0,"",SUM(K21:Q21))</f>
        <v/>
      </c>
      <c r="S21" s="4">
        <f>IF(OR(G21="",R21=""),"",G21+R21)</f>
        <v/>
      </c>
      <c r="T21" s="5" t="n"/>
    </row>
    <row r="22">
      <c r="A22" s="4" t="n">
        <v>18</v>
      </c>
      <c r="B22" s="5" t="n"/>
      <c r="C22" s="4" t="n"/>
      <c r="D22" s="4" t="n">
        <v>4</v>
      </c>
      <c r="E22" s="4" t="n"/>
      <c r="F22" s="4">
        <f>IF(E22="","",E22/10*100)</f>
        <v/>
      </c>
      <c r="G22" s="4" t="n"/>
      <c r="H22" s="4">
        <f>IF(G22="","",G22/10*100)</f>
        <v/>
      </c>
      <c r="I22" s="4">
        <f>IF(H22="","",IF(H22&gt;=70,"ผ่าน","ไม่ผ่าน"))</f>
        <v/>
      </c>
      <c r="J22" s="4">
        <f>IF(OR(F22="",H22=""),"",H22-F22)</f>
        <v/>
      </c>
      <c r="K22" s="4" t="n"/>
      <c r="L22" s="4" t="n"/>
      <c r="M22" s="4" t="n"/>
      <c r="N22" s="4" t="n"/>
      <c r="O22" s="4" t="n"/>
      <c r="P22" s="4" t="n"/>
      <c r="Q22" s="4" t="n"/>
      <c r="R22" s="4">
        <f>IF(COUNTA(K22:Q22)=0,"",SUM(K22:Q22))</f>
        <v/>
      </c>
      <c r="S22" s="4">
        <f>IF(OR(G22="",R22=""),"",G22+R22)</f>
        <v/>
      </c>
      <c r="T22" s="5" t="n"/>
    </row>
    <row r="23">
      <c r="A23" s="4" t="n">
        <v>19</v>
      </c>
      <c r="B23" s="5" t="n"/>
      <c r="C23" s="4" t="n"/>
      <c r="D23" s="4" t="n">
        <v>4</v>
      </c>
      <c r="E23" s="4" t="n"/>
      <c r="F23" s="4">
        <f>IF(E23="","",E23/10*100)</f>
        <v/>
      </c>
      <c r="G23" s="4" t="n"/>
      <c r="H23" s="4">
        <f>IF(G23="","",G23/10*100)</f>
        <v/>
      </c>
      <c r="I23" s="4">
        <f>IF(H23="","",IF(H23&gt;=70,"ผ่าน","ไม่ผ่าน"))</f>
        <v/>
      </c>
      <c r="J23" s="4">
        <f>IF(OR(F23="",H23=""),"",H23-F23)</f>
        <v/>
      </c>
      <c r="K23" s="4" t="n"/>
      <c r="L23" s="4" t="n"/>
      <c r="M23" s="4" t="n"/>
      <c r="N23" s="4" t="n"/>
      <c r="O23" s="4" t="n"/>
      <c r="P23" s="4" t="n"/>
      <c r="Q23" s="4" t="n"/>
      <c r="R23" s="4">
        <f>IF(COUNTA(K23:Q23)=0,"",SUM(K23:Q23))</f>
        <v/>
      </c>
      <c r="S23" s="4">
        <f>IF(OR(G23="",R23=""),"",G23+R23)</f>
        <v/>
      </c>
      <c r="T23" s="5" t="n"/>
    </row>
    <row r="24">
      <c r="A24" s="4" t="n">
        <v>20</v>
      </c>
      <c r="B24" s="5" t="n"/>
      <c r="C24" s="4" t="n"/>
      <c r="D24" s="4" t="n">
        <v>4</v>
      </c>
      <c r="E24" s="4" t="n"/>
      <c r="F24" s="4">
        <f>IF(E24="","",E24/10*100)</f>
        <v/>
      </c>
      <c r="G24" s="4" t="n"/>
      <c r="H24" s="4">
        <f>IF(G24="","",G24/10*100)</f>
        <v/>
      </c>
      <c r="I24" s="4">
        <f>IF(H24="","",IF(H24&gt;=70,"ผ่าน","ไม่ผ่าน"))</f>
        <v/>
      </c>
      <c r="J24" s="4">
        <f>IF(OR(F24="",H24=""),"",H24-F24)</f>
        <v/>
      </c>
      <c r="K24" s="4" t="n"/>
      <c r="L24" s="4" t="n"/>
      <c r="M24" s="4" t="n"/>
      <c r="N24" s="4" t="n"/>
      <c r="O24" s="4" t="n"/>
      <c r="P24" s="4" t="n"/>
      <c r="Q24" s="4" t="n"/>
      <c r="R24" s="4">
        <f>IF(COUNTA(K24:Q24)=0,"",SUM(K24:Q24))</f>
        <v/>
      </c>
      <c r="S24" s="4">
        <f>IF(OR(G24="",R24=""),"",G24+R24)</f>
        <v/>
      </c>
      <c r="T24" s="5" t="n"/>
    </row>
    <row r="25">
      <c r="A25" s="4" t="n">
        <v>21</v>
      </c>
      <c r="B25" s="5" t="n"/>
      <c r="C25" s="4" t="n"/>
      <c r="D25" s="4" t="n">
        <v>5</v>
      </c>
      <c r="E25" s="4" t="n"/>
      <c r="F25" s="4">
        <f>IF(E25="","",E25/10*100)</f>
        <v/>
      </c>
      <c r="G25" s="4" t="n"/>
      <c r="H25" s="4">
        <f>IF(G25="","",G25/10*100)</f>
        <v/>
      </c>
      <c r="I25" s="4">
        <f>IF(H25="","",IF(H25&gt;=70,"ผ่าน","ไม่ผ่าน"))</f>
        <v/>
      </c>
      <c r="J25" s="4">
        <f>IF(OR(F25="",H25=""),"",H25-F25)</f>
        <v/>
      </c>
      <c r="K25" s="4" t="n"/>
      <c r="L25" s="4" t="n"/>
      <c r="M25" s="4" t="n"/>
      <c r="N25" s="4" t="n"/>
      <c r="O25" s="4" t="n"/>
      <c r="P25" s="4" t="n"/>
      <c r="Q25" s="4" t="n"/>
      <c r="R25" s="4">
        <f>IF(COUNTA(K25:Q25)=0,"",SUM(K25:Q25))</f>
        <v/>
      </c>
      <c r="S25" s="4">
        <f>IF(OR(G25="",R25=""),"",G25+R25)</f>
        <v/>
      </c>
      <c r="T25" s="5" t="n"/>
    </row>
    <row r="26">
      <c r="A26" s="4" t="n">
        <v>22</v>
      </c>
      <c r="B26" s="5" t="n"/>
      <c r="C26" s="4" t="n"/>
      <c r="D26" s="4" t="n">
        <v>5</v>
      </c>
      <c r="E26" s="4" t="n"/>
      <c r="F26" s="4">
        <f>IF(E26="","",E26/10*100)</f>
        <v/>
      </c>
      <c r="G26" s="4" t="n"/>
      <c r="H26" s="4">
        <f>IF(G26="","",G26/10*100)</f>
        <v/>
      </c>
      <c r="I26" s="4">
        <f>IF(H26="","",IF(H26&gt;=70,"ผ่าน","ไม่ผ่าน"))</f>
        <v/>
      </c>
      <c r="J26" s="4">
        <f>IF(OR(F26="",H26=""),"",H26-F26)</f>
        <v/>
      </c>
      <c r="K26" s="4" t="n"/>
      <c r="L26" s="4" t="n"/>
      <c r="M26" s="4" t="n"/>
      <c r="N26" s="4" t="n"/>
      <c r="O26" s="4" t="n"/>
      <c r="P26" s="4" t="n"/>
      <c r="Q26" s="4" t="n"/>
      <c r="R26" s="4">
        <f>IF(COUNTA(K26:Q26)=0,"",SUM(K26:Q26))</f>
        <v/>
      </c>
      <c r="S26" s="4">
        <f>IF(OR(G26="",R26=""),"",G26+R26)</f>
        <v/>
      </c>
      <c r="T26" s="5" t="n"/>
    </row>
    <row r="27">
      <c r="A27" s="4" t="n">
        <v>23</v>
      </c>
      <c r="B27" s="5" t="n"/>
      <c r="C27" s="4" t="n"/>
      <c r="D27" s="4" t="n">
        <v>5</v>
      </c>
      <c r="E27" s="4" t="n"/>
      <c r="F27" s="4">
        <f>IF(E27="","",E27/10*100)</f>
        <v/>
      </c>
      <c r="G27" s="4" t="n"/>
      <c r="H27" s="4">
        <f>IF(G27="","",G27/10*100)</f>
        <v/>
      </c>
      <c r="I27" s="4">
        <f>IF(H27="","",IF(H27&gt;=70,"ผ่าน","ไม่ผ่าน"))</f>
        <v/>
      </c>
      <c r="J27" s="4">
        <f>IF(OR(F27="",H27=""),"",H27-F27)</f>
        <v/>
      </c>
      <c r="K27" s="4" t="n"/>
      <c r="L27" s="4" t="n"/>
      <c r="M27" s="4" t="n"/>
      <c r="N27" s="4" t="n"/>
      <c r="O27" s="4" t="n"/>
      <c r="P27" s="4" t="n"/>
      <c r="Q27" s="4" t="n"/>
      <c r="R27" s="4">
        <f>IF(COUNTA(K27:Q27)=0,"",SUM(K27:Q27))</f>
        <v/>
      </c>
      <c r="S27" s="4">
        <f>IF(OR(G27="",R27=""),"",G27+R27)</f>
        <v/>
      </c>
      <c r="T27" s="5" t="n"/>
    </row>
    <row r="28">
      <c r="A28" s="4" t="n">
        <v>24</v>
      </c>
      <c r="B28" s="5" t="n"/>
      <c r="C28" s="4" t="n"/>
      <c r="D28" s="4" t="n">
        <v>5</v>
      </c>
      <c r="E28" s="4" t="n"/>
      <c r="F28" s="4">
        <f>IF(E28="","",E28/10*100)</f>
        <v/>
      </c>
      <c r="G28" s="4" t="n"/>
      <c r="H28" s="4">
        <f>IF(G28="","",G28/10*100)</f>
        <v/>
      </c>
      <c r="I28" s="4">
        <f>IF(H28="","",IF(H28&gt;=70,"ผ่าน","ไม่ผ่าน"))</f>
        <v/>
      </c>
      <c r="J28" s="4">
        <f>IF(OR(F28="",H28=""),"",H28-F28)</f>
        <v/>
      </c>
      <c r="K28" s="4" t="n"/>
      <c r="L28" s="4" t="n"/>
      <c r="M28" s="4" t="n"/>
      <c r="N28" s="4" t="n"/>
      <c r="O28" s="4" t="n"/>
      <c r="P28" s="4" t="n"/>
      <c r="Q28" s="4" t="n"/>
      <c r="R28" s="4">
        <f>IF(COUNTA(K28:Q28)=0,"",SUM(K28:Q28))</f>
        <v/>
      </c>
      <c r="S28" s="4">
        <f>IF(OR(G28="",R28=""),"",G28+R28)</f>
        <v/>
      </c>
      <c r="T28" s="5" t="n"/>
    </row>
    <row r="29">
      <c r="A29" s="4" t="n">
        <v>25</v>
      </c>
      <c r="B29" s="5" t="n"/>
      <c r="C29" s="4" t="n"/>
      <c r="D29" s="4" t="n">
        <v>5</v>
      </c>
      <c r="E29" s="4" t="n"/>
      <c r="F29" s="4">
        <f>IF(E29="","",E29/10*100)</f>
        <v/>
      </c>
      <c r="G29" s="4" t="n"/>
      <c r="H29" s="4">
        <f>IF(G29="","",G29/10*100)</f>
        <v/>
      </c>
      <c r="I29" s="4">
        <f>IF(H29="","",IF(H29&gt;=70,"ผ่าน","ไม่ผ่าน"))</f>
        <v/>
      </c>
      <c r="J29" s="4">
        <f>IF(OR(F29="",H29=""),"",H29-F29)</f>
        <v/>
      </c>
      <c r="K29" s="4" t="n"/>
      <c r="L29" s="4" t="n"/>
      <c r="M29" s="4" t="n"/>
      <c r="N29" s="4" t="n"/>
      <c r="O29" s="4" t="n"/>
      <c r="P29" s="4" t="n"/>
      <c r="Q29" s="4" t="n"/>
      <c r="R29" s="4">
        <f>IF(COUNTA(K29:Q29)=0,"",SUM(K29:Q29))</f>
        <v/>
      </c>
      <c r="S29" s="4">
        <f>IF(OR(G29="",R29=""),"",G29+R29)</f>
        <v/>
      </c>
      <c r="T29" s="5" t="n"/>
    </row>
    <row r="30">
      <c r="A30" s="4" t="n">
        <v>26</v>
      </c>
      <c r="B30" s="5" t="n"/>
      <c r="C30" s="4" t="n"/>
      <c r="D30" s="4" t="n">
        <v>6</v>
      </c>
      <c r="E30" s="4" t="n"/>
      <c r="F30" s="4">
        <f>IF(E30="","",E30/10*100)</f>
        <v/>
      </c>
      <c r="G30" s="4" t="n"/>
      <c r="H30" s="4">
        <f>IF(G30="","",G30/10*100)</f>
        <v/>
      </c>
      <c r="I30" s="4">
        <f>IF(H30="","",IF(H30&gt;=70,"ผ่าน","ไม่ผ่าน"))</f>
        <v/>
      </c>
      <c r="J30" s="4">
        <f>IF(OR(F30="",H30=""),"",H30-F30)</f>
        <v/>
      </c>
      <c r="K30" s="4" t="n"/>
      <c r="L30" s="4" t="n"/>
      <c r="M30" s="4" t="n"/>
      <c r="N30" s="4" t="n"/>
      <c r="O30" s="4" t="n"/>
      <c r="P30" s="4" t="n"/>
      <c r="Q30" s="4" t="n"/>
      <c r="R30" s="4">
        <f>IF(COUNTA(K30:Q30)=0,"",SUM(K30:Q30))</f>
        <v/>
      </c>
      <c r="S30" s="4">
        <f>IF(OR(G30="",R30=""),"",G30+R30)</f>
        <v/>
      </c>
      <c r="T30" s="5" t="n"/>
    </row>
    <row r="31">
      <c r="A31" s="4" t="n">
        <v>27</v>
      </c>
      <c r="B31" s="5" t="n"/>
      <c r="C31" s="4" t="n"/>
      <c r="D31" s="4" t="n">
        <v>6</v>
      </c>
      <c r="E31" s="4" t="n"/>
      <c r="F31" s="4">
        <f>IF(E31="","",E31/10*100)</f>
        <v/>
      </c>
      <c r="G31" s="4" t="n"/>
      <c r="H31" s="4">
        <f>IF(G31="","",G31/10*100)</f>
        <v/>
      </c>
      <c r="I31" s="4">
        <f>IF(H31="","",IF(H31&gt;=70,"ผ่าน","ไม่ผ่าน"))</f>
        <v/>
      </c>
      <c r="J31" s="4">
        <f>IF(OR(F31="",H31=""),"",H31-F31)</f>
        <v/>
      </c>
      <c r="K31" s="4" t="n"/>
      <c r="L31" s="4" t="n"/>
      <c r="M31" s="4" t="n"/>
      <c r="N31" s="4" t="n"/>
      <c r="O31" s="4" t="n"/>
      <c r="P31" s="4" t="n"/>
      <c r="Q31" s="4" t="n"/>
      <c r="R31" s="4">
        <f>IF(COUNTA(K31:Q31)=0,"",SUM(K31:Q31))</f>
        <v/>
      </c>
      <c r="S31" s="4">
        <f>IF(OR(G31="",R31=""),"",G31+R31)</f>
        <v/>
      </c>
      <c r="T31" s="5" t="n"/>
    </row>
    <row r="32">
      <c r="A32" s="4" t="n">
        <v>28</v>
      </c>
      <c r="B32" s="5" t="n"/>
      <c r="C32" s="4" t="n"/>
      <c r="D32" s="4" t="n">
        <v>6</v>
      </c>
      <c r="E32" s="4" t="n"/>
      <c r="F32" s="4">
        <f>IF(E32="","",E32/10*100)</f>
        <v/>
      </c>
      <c r="G32" s="4" t="n"/>
      <c r="H32" s="4">
        <f>IF(G32="","",G32/10*100)</f>
        <v/>
      </c>
      <c r="I32" s="4">
        <f>IF(H32="","",IF(H32&gt;=70,"ผ่าน","ไม่ผ่าน"))</f>
        <v/>
      </c>
      <c r="J32" s="4">
        <f>IF(OR(F32="",H32=""),"",H32-F32)</f>
        <v/>
      </c>
      <c r="K32" s="4" t="n"/>
      <c r="L32" s="4" t="n"/>
      <c r="M32" s="4" t="n"/>
      <c r="N32" s="4" t="n"/>
      <c r="O32" s="4" t="n"/>
      <c r="P32" s="4" t="n"/>
      <c r="Q32" s="4" t="n"/>
      <c r="R32" s="4">
        <f>IF(COUNTA(K32:Q32)=0,"",SUM(K32:Q32))</f>
        <v/>
      </c>
      <c r="S32" s="4">
        <f>IF(OR(G32="",R32=""),"",G32+R32)</f>
        <v/>
      </c>
      <c r="T32" s="5" t="n"/>
    </row>
    <row r="33">
      <c r="A33" s="4" t="n">
        <v>29</v>
      </c>
      <c r="B33" s="5" t="n"/>
      <c r="C33" s="4" t="n"/>
      <c r="D33" s="4" t="n">
        <v>6</v>
      </c>
      <c r="E33" s="4" t="n"/>
      <c r="F33" s="4">
        <f>IF(E33="","",E33/10*100)</f>
        <v/>
      </c>
      <c r="G33" s="4" t="n"/>
      <c r="H33" s="4">
        <f>IF(G33="","",G33/10*100)</f>
        <v/>
      </c>
      <c r="I33" s="4">
        <f>IF(H33="","",IF(H33&gt;=70,"ผ่าน","ไม่ผ่าน"))</f>
        <v/>
      </c>
      <c r="J33" s="4">
        <f>IF(OR(F33="",H33=""),"",H33-F33)</f>
        <v/>
      </c>
      <c r="K33" s="4" t="n"/>
      <c r="L33" s="4" t="n"/>
      <c r="M33" s="4" t="n"/>
      <c r="N33" s="4" t="n"/>
      <c r="O33" s="4" t="n"/>
      <c r="P33" s="4" t="n"/>
      <c r="Q33" s="4" t="n"/>
      <c r="R33" s="4">
        <f>IF(COUNTA(K33:Q33)=0,"",SUM(K33:Q33))</f>
        <v/>
      </c>
      <c r="S33" s="4">
        <f>IF(OR(G33="",R33=""),"",G33+R33)</f>
        <v/>
      </c>
      <c r="T33" s="5" t="n"/>
    </row>
    <row r="34">
      <c r="A34" s="4" t="n">
        <v>30</v>
      </c>
      <c r="B34" s="5" t="n"/>
      <c r="C34" s="4" t="n"/>
      <c r="D34" s="4" t="n">
        <v>6</v>
      </c>
      <c r="E34" s="4" t="n"/>
      <c r="F34" s="4">
        <f>IF(E34="","",E34/10*100)</f>
        <v/>
      </c>
      <c r="G34" s="4" t="n"/>
      <c r="H34" s="4">
        <f>IF(G34="","",G34/10*100)</f>
        <v/>
      </c>
      <c r="I34" s="4">
        <f>IF(H34="","",IF(H34&gt;=70,"ผ่าน","ไม่ผ่าน"))</f>
        <v/>
      </c>
      <c r="J34" s="4">
        <f>IF(OR(F34="",H34=""),"",H34-F34)</f>
        <v/>
      </c>
      <c r="K34" s="4" t="n"/>
      <c r="L34" s="4" t="n"/>
      <c r="M34" s="4" t="n"/>
      <c r="N34" s="4" t="n"/>
      <c r="O34" s="4" t="n"/>
      <c r="P34" s="4" t="n"/>
      <c r="Q34" s="4" t="n"/>
      <c r="R34" s="4">
        <f>IF(COUNTA(K34:Q34)=0,"",SUM(K34:Q34))</f>
        <v/>
      </c>
      <c r="S34" s="4">
        <f>IF(OR(G34="",R34=""),"",G34+R34)</f>
        <v/>
      </c>
      <c r="T34" s="5" t="n"/>
    </row>
    <row r="35">
      <c r="A35" s="4" t="n">
        <v>31</v>
      </c>
      <c r="B35" s="5" t="n"/>
      <c r="C35" s="4" t="n"/>
      <c r="D35" s="4" t="n">
        <v>7</v>
      </c>
      <c r="E35" s="4" t="n"/>
      <c r="F35" s="4">
        <f>IF(E35="","",E35/10*100)</f>
        <v/>
      </c>
      <c r="G35" s="4" t="n"/>
      <c r="H35" s="4">
        <f>IF(G35="","",G35/10*100)</f>
        <v/>
      </c>
      <c r="I35" s="4">
        <f>IF(H35="","",IF(H35&gt;=70,"ผ่าน","ไม่ผ่าน"))</f>
        <v/>
      </c>
      <c r="J35" s="4">
        <f>IF(OR(F35="",H35=""),"",H35-F35)</f>
        <v/>
      </c>
      <c r="K35" s="4" t="n"/>
      <c r="L35" s="4" t="n"/>
      <c r="M35" s="4" t="n"/>
      <c r="N35" s="4" t="n"/>
      <c r="O35" s="4" t="n"/>
      <c r="P35" s="4" t="n"/>
      <c r="Q35" s="4" t="n"/>
      <c r="R35" s="4">
        <f>IF(COUNTA(K35:Q35)=0,"",SUM(K35:Q35))</f>
        <v/>
      </c>
      <c r="S35" s="4">
        <f>IF(OR(G35="",R35=""),"",G35+R35)</f>
        <v/>
      </c>
      <c r="T35" s="5" t="n"/>
    </row>
    <row r="36">
      <c r="A36" s="4" t="n">
        <v>32</v>
      </c>
      <c r="B36" s="5" t="n"/>
      <c r="C36" s="4" t="n"/>
      <c r="D36" s="4" t="n">
        <v>7</v>
      </c>
      <c r="E36" s="4" t="n"/>
      <c r="F36" s="4">
        <f>IF(E36="","",E36/10*100)</f>
        <v/>
      </c>
      <c r="G36" s="4" t="n"/>
      <c r="H36" s="4">
        <f>IF(G36="","",G36/10*100)</f>
        <v/>
      </c>
      <c r="I36" s="4">
        <f>IF(H36="","",IF(H36&gt;=70,"ผ่าน","ไม่ผ่าน"))</f>
        <v/>
      </c>
      <c r="J36" s="4">
        <f>IF(OR(F36="",H36=""),"",H36-F36)</f>
        <v/>
      </c>
      <c r="K36" s="4" t="n"/>
      <c r="L36" s="4" t="n"/>
      <c r="M36" s="4" t="n"/>
      <c r="N36" s="4" t="n"/>
      <c r="O36" s="4" t="n"/>
      <c r="P36" s="4" t="n"/>
      <c r="Q36" s="4" t="n"/>
      <c r="R36" s="4">
        <f>IF(COUNTA(K36:Q36)=0,"",SUM(K36:Q36))</f>
        <v/>
      </c>
      <c r="S36" s="4">
        <f>IF(OR(G36="",R36=""),"",G36+R36)</f>
        <v/>
      </c>
      <c r="T36" s="5" t="n"/>
    </row>
    <row r="37">
      <c r="A37" s="4" t="n">
        <v>33</v>
      </c>
      <c r="B37" s="5" t="n"/>
      <c r="C37" s="4" t="n"/>
      <c r="D37" s="4" t="n">
        <v>7</v>
      </c>
      <c r="E37" s="4" t="n"/>
      <c r="F37" s="4">
        <f>IF(E37="","",E37/10*100)</f>
        <v/>
      </c>
      <c r="G37" s="4" t="n"/>
      <c r="H37" s="4">
        <f>IF(G37="","",G37/10*100)</f>
        <v/>
      </c>
      <c r="I37" s="4">
        <f>IF(H37="","",IF(H37&gt;=70,"ผ่าน","ไม่ผ่าน"))</f>
        <v/>
      </c>
      <c r="J37" s="4">
        <f>IF(OR(F37="",H37=""),"",H37-F37)</f>
        <v/>
      </c>
      <c r="K37" s="4" t="n"/>
      <c r="L37" s="4" t="n"/>
      <c r="M37" s="4" t="n"/>
      <c r="N37" s="4" t="n"/>
      <c r="O37" s="4" t="n"/>
      <c r="P37" s="4" t="n"/>
      <c r="Q37" s="4" t="n"/>
      <c r="R37" s="4">
        <f>IF(COUNTA(K37:Q37)=0,"",SUM(K37:Q37))</f>
        <v/>
      </c>
      <c r="S37" s="4">
        <f>IF(OR(G37="",R37=""),"",G37+R37)</f>
        <v/>
      </c>
      <c r="T37" s="5" t="n"/>
    </row>
    <row r="38">
      <c r="A38" s="4" t="n">
        <v>34</v>
      </c>
      <c r="B38" s="5" t="n"/>
      <c r="C38" s="4" t="n"/>
      <c r="D38" s="4" t="n">
        <v>7</v>
      </c>
      <c r="E38" s="4" t="n"/>
      <c r="F38" s="4">
        <f>IF(E38="","",E38/10*100)</f>
        <v/>
      </c>
      <c r="G38" s="4" t="n"/>
      <c r="H38" s="4">
        <f>IF(G38="","",G38/10*100)</f>
        <v/>
      </c>
      <c r="I38" s="4">
        <f>IF(H38="","",IF(H38&gt;=70,"ผ่าน","ไม่ผ่าน"))</f>
        <v/>
      </c>
      <c r="J38" s="4">
        <f>IF(OR(F38="",H38=""),"",H38-F38)</f>
        <v/>
      </c>
      <c r="K38" s="4" t="n"/>
      <c r="L38" s="4" t="n"/>
      <c r="M38" s="4" t="n"/>
      <c r="N38" s="4" t="n"/>
      <c r="O38" s="4" t="n"/>
      <c r="P38" s="4" t="n"/>
      <c r="Q38" s="4" t="n"/>
      <c r="R38" s="4">
        <f>IF(COUNTA(K38:Q38)=0,"",SUM(K38:Q38))</f>
        <v/>
      </c>
      <c r="S38" s="4">
        <f>IF(OR(G38="",R38=""),"",G38+R38)</f>
        <v/>
      </c>
      <c r="T38" s="5" t="n"/>
    </row>
    <row r="39">
      <c r="A39" s="4" t="n">
        <v>35</v>
      </c>
      <c r="B39" s="5" t="n"/>
      <c r="C39" s="4" t="n"/>
      <c r="D39" s="4" t="n">
        <v>7</v>
      </c>
      <c r="E39" s="4" t="n"/>
      <c r="F39" s="4">
        <f>IF(E39="","",E39/10*100)</f>
        <v/>
      </c>
      <c r="G39" s="4" t="n"/>
      <c r="H39" s="4">
        <f>IF(G39="","",G39/10*100)</f>
        <v/>
      </c>
      <c r="I39" s="4">
        <f>IF(H39="","",IF(H39&gt;=70,"ผ่าน","ไม่ผ่าน"))</f>
        <v/>
      </c>
      <c r="J39" s="4">
        <f>IF(OR(F39="",H39=""),"",H39-F39)</f>
        <v/>
      </c>
      <c r="K39" s="4" t="n"/>
      <c r="L39" s="4" t="n"/>
      <c r="M39" s="4" t="n"/>
      <c r="N39" s="4" t="n"/>
      <c r="O39" s="4" t="n"/>
      <c r="P39" s="4" t="n"/>
      <c r="Q39" s="4" t="n"/>
      <c r="R39" s="4">
        <f>IF(COUNTA(K39:Q39)=0,"",SUM(K39:Q39))</f>
        <v/>
      </c>
      <c r="S39" s="4">
        <f>IF(OR(G39="",R39=""),"",G39+R39)</f>
        <v/>
      </c>
      <c r="T39" s="5" t="n"/>
    </row>
    <row r="40">
      <c r="A40" s="4" t="n">
        <v>36</v>
      </c>
      <c r="B40" s="5" t="n"/>
      <c r="C40" s="4" t="n"/>
      <c r="D40" s="4" t="n">
        <v>8</v>
      </c>
      <c r="E40" s="4" t="n"/>
      <c r="F40" s="4">
        <f>IF(E40="","",E40/10*100)</f>
        <v/>
      </c>
      <c r="G40" s="4" t="n"/>
      <c r="H40" s="4">
        <f>IF(G40="","",G40/10*100)</f>
        <v/>
      </c>
      <c r="I40" s="4">
        <f>IF(H40="","",IF(H40&gt;=70,"ผ่าน","ไม่ผ่าน"))</f>
        <v/>
      </c>
      <c r="J40" s="4">
        <f>IF(OR(F40="",H40=""),"",H40-F40)</f>
        <v/>
      </c>
      <c r="K40" s="4" t="n"/>
      <c r="L40" s="4" t="n"/>
      <c r="M40" s="4" t="n"/>
      <c r="N40" s="4" t="n"/>
      <c r="O40" s="4" t="n"/>
      <c r="P40" s="4" t="n"/>
      <c r="Q40" s="4" t="n"/>
      <c r="R40" s="4">
        <f>IF(COUNTA(K40:Q40)=0,"",SUM(K40:Q40))</f>
        <v/>
      </c>
      <c r="S40" s="4">
        <f>IF(OR(G40="",R40=""),"",G40+R40)</f>
        <v/>
      </c>
      <c r="T40" s="5" t="n"/>
    </row>
    <row r="41">
      <c r="A41" s="4" t="n">
        <v>37</v>
      </c>
      <c r="B41" s="5" t="n"/>
      <c r="C41" s="4" t="n"/>
      <c r="D41" s="4" t="n">
        <v>8</v>
      </c>
      <c r="E41" s="4" t="n"/>
      <c r="F41" s="4">
        <f>IF(E41="","",E41/10*100)</f>
        <v/>
      </c>
      <c r="G41" s="4" t="n"/>
      <c r="H41" s="4">
        <f>IF(G41="","",G41/10*100)</f>
        <v/>
      </c>
      <c r="I41" s="4">
        <f>IF(H41="","",IF(H41&gt;=70,"ผ่าน","ไม่ผ่าน"))</f>
        <v/>
      </c>
      <c r="J41" s="4">
        <f>IF(OR(F41="",H41=""),"",H41-F41)</f>
        <v/>
      </c>
      <c r="K41" s="4" t="n"/>
      <c r="L41" s="4" t="n"/>
      <c r="M41" s="4" t="n"/>
      <c r="N41" s="4" t="n"/>
      <c r="O41" s="4" t="n"/>
      <c r="P41" s="4" t="n"/>
      <c r="Q41" s="4" t="n"/>
      <c r="R41" s="4">
        <f>IF(COUNTA(K41:Q41)=0,"",SUM(K41:Q41))</f>
        <v/>
      </c>
      <c r="S41" s="4">
        <f>IF(OR(G41="",R41=""),"",G41+R41)</f>
        <v/>
      </c>
      <c r="T41" s="5" t="n"/>
    </row>
    <row r="42">
      <c r="A42" s="4" t="n">
        <v>38</v>
      </c>
      <c r="B42" s="5" t="n"/>
      <c r="C42" s="4" t="n"/>
      <c r="D42" s="4" t="n">
        <v>8</v>
      </c>
      <c r="E42" s="4" t="n"/>
      <c r="F42" s="4">
        <f>IF(E42="","",E42/10*100)</f>
        <v/>
      </c>
      <c r="G42" s="4" t="n"/>
      <c r="H42" s="4">
        <f>IF(G42="","",G42/10*100)</f>
        <v/>
      </c>
      <c r="I42" s="4">
        <f>IF(H42="","",IF(H42&gt;=70,"ผ่าน","ไม่ผ่าน"))</f>
        <v/>
      </c>
      <c r="J42" s="4">
        <f>IF(OR(F42="",H42=""),"",H42-F42)</f>
        <v/>
      </c>
      <c r="K42" s="4" t="n"/>
      <c r="L42" s="4" t="n"/>
      <c r="M42" s="4" t="n"/>
      <c r="N42" s="4" t="n"/>
      <c r="O42" s="4" t="n"/>
      <c r="P42" s="4" t="n"/>
      <c r="Q42" s="4" t="n"/>
      <c r="R42" s="4">
        <f>IF(COUNTA(K42:Q42)=0,"",SUM(K42:Q42))</f>
        <v/>
      </c>
      <c r="S42" s="4">
        <f>IF(OR(G42="",R42=""),"",G42+R42)</f>
        <v/>
      </c>
      <c r="T42" s="5" t="n"/>
    </row>
    <row r="43">
      <c r="A43" s="4" t="n">
        <v>39</v>
      </c>
      <c r="B43" s="5" t="n"/>
      <c r="C43" s="4" t="n"/>
      <c r="D43" s="4" t="n">
        <v>8</v>
      </c>
      <c r="E43" s="4" t="n"/>
      <c r="F43" s="4">
        <f>IF(E43="","",E43/10*100)</f>
        <v/>
      </c>
      <c r="G43" s="4" t="n"/>
      <c r="H43" s="4">
        <f>IF(G43="","",G43/10*100)</f>
        <v/>
      </c>
      <c r="I43" s="4">
        <f>IF(H43="","",IF(H43&gt;=70,"ผ่าน","ไม่ผ่าน"))</f>
        <v/>
      </c>
      <c r="J43" s="4">
        <f>IF(OR(F43="",H43=""),"",H43-F43)</f>
        <v/>
      </c>
      <c r="K43" s="4" t="n"/>
      <c r="L43" s="4" t="n"/>
      <c r="M43" s="4" t="n"/>
      <c r="N43" s="4" t="n"/>
      <c r="O43" s="4" t="n"/>
      <c r="P43" s="4" t="n"/>
      <c r="Q43" s="4" t="n"/>
      <c r="R43" s="4">
        <f>IF(COUNTA(K43:Q43)=0,"",SUM(K43:Q43))</f>
        <v/>
      </c>
      <c r="S43" s="4">
        <f>IF(OR(G43="",R43=""),"",G43+R43)</f>
        <v/>
      </c>
      <c r="T43" s="5" t="n"/>
    </row>
    <row r="44">
      <c r="A44" s="4" t="n">
        <v>40</v>
      </c>
      <c r="B44" s="5" t="n"/>
      <c r="C44" s="4" t="n"/>
      <c r="D44" s="4" t="n">
        <v>8</v>
      </c>
      <c r="E44" s="4" t="n"/>
      <c r="F44" s="4">
        <f>IF(E44="","",E44/10*100)</f>
        <v/>
      </c>
      <c r="G44" s="4" t="n"/>
      <c r="H44" s="4">
        <f>IF(G44="","",G44/10*100)</f>
        <v/>
      </c>
      <c r="I44" s="4">
        <f>IF(H44="","",IF(H44&gt;=70,"ผ่าน","ไม่ผ่าน"))</f>
        <v/>
      </c>
      <c r="J44" s="4">
        <f>IF(OR(F44="",H44=""),"",H44-F44)</f>
        <v/>
      </c>
      <c r="K44" s="4" t="n"/>
      <c r="L44" s="4" t="n"/>
      <c r="M44" s="4" t="n"/>
      <c r="N44" s="4" t="n"/>
      <c r="O44" s="4" t="n"/>
      <c r="P44" s="4" t="n"/>
      <c r="Q44" s="4" t="n"/>
      <c r="R44" s="4">
        <f>IF(COUNTA(K44:Q44)=0,"",SUM(K44:Q44))</f>
        <v/>
      </c>
      <c r="S44" s="4">
        <f>IF(OR(G44="",R44=""),"",G44+R44)</f>
        <v/>
      </c>
      <c r="T44" s="5" t="n"/>
    </row>
  </sheetData>
  <mergeCells count="2">
    <mergeCell ref="A1:T1"/>
    <mergeCell ref="A2:T2"/>
  </mergeCells>
  <conditionalFormatting sqref="I5:I44">
    <cfRule type="cellIs" priority="1" operator="equal" dxfId="0">
      <formula>"ผ่าน"</formula>
    </cfRule>
    <cfRule type="cellIs" priority="2" operator="equal" dxfId="1">
      <formula>"ไม่ผ่าน"</formula>
    </cfRule>
  </conditionalFormatting>
  <conditionalFormatting sqref="J5:J44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S5:S44">
    <cfRule type="dataBar" priority="4">
      <dataBar>
        <cfvo type="num" val="0"/>
        <cfvo type="num" val="100"/>
        <color rgb="005B9BD5"/>
      </dataBar>
    </cfRule>
  </conditionalFormatting>
  <dataValidations count="11">
    <dataValidation sqref="C5:C44" showDropDown="0" showInputMessage="0" showErrorMessage="0" allowBlank="1" type="decimal" operator="between">
      <formula1>1</formula1>
      <formula2>13</formula2>
    </dataValidation>
    <dataValidation sqref="D5:D44" showDropDown="0" showInputMessage="0" showErrorMessage="0" allowBlank="1" type="decimal" operator="between">
      <formula1>1</formula1>
      <formula2>8</formula2>
    </dataValidation>
    <dataValidation sqref="E5:E44" showDropDown="0" showInputMessage="0" showErrorMessage="0" allowBlank="1" type="decimal" operator="between">
      <formula1>0</formula1>
      <formula2>10</formula2>
    </dataValidation>
    <dataValidation sqref="G5:G44" showDropDown="0" showInputMessage="0" showErrorMessage="0" allowBlank="1" type="decimal" operator="between">
      <formula1>0</formula1>
      <formula2>10</formula2>
    </dataValidation>
    <dataValidation sqref="K5:K44" showDropDown="0" showInputMessage="0" showErrorMessage="0" allowBlank="1" type="decimal" operator="between">
      <formula1>0</formula1>
      <formula2>10</formula2>
    </dataValidation>
    <dataValidation sqref="L5:L44" showDropDown="0" showInputMessage="0" showErrorMessage="0" allowBlank="1" type="decimal" operator="between">
      <formula1>0</formula1>
      <formula2>10</formula2>
    </dataValidation>
    <dataValidation sqref="M5:M44" showDropDown="0" showInputMessage="0" showErrorMessage="0" allowBlank="1" type="decimal" operator="between">
      <formula1>0</formula1>
      <formula2>20</formula2>
    </dataValidation>
    <dataValidation sqref="N5:N44" showDropDown="0" showInputMessage="0" showErrorMessage="0" allowBlank="1" type="decimal" operator="between">
      <formula1>0</formula1>
      <formula2>15</formula2>
    </dataValidation>
    <dataValidation sqref="O5:O44" showDropDown="0" showInputMessage="0" showErrorMessage="0" allowBlank="1" type="decimal" operator="between">
      <formula1>0</formula1>
      <formula2>20</formula2>
    </dataValidation>
    <dataValidation sqref="P5:P44" showDropDown="0" showInputMessage="0" showErrorMessage="0" allowBlank="1" type="decimal" operator="between">
      <formula1>0</formula1>
      <formula2>10</formula2>
    </dataValidation>
    <dataValidation sqref="Q5:Q44" showDropDown="0" showInputMessage="0" showErrorMessage="0" allowBlank="1" type="decimal" operator="between">
      <formula1>0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14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Dashboard สรุปผล — หน่วยที่ 3 การพัฒนาโครงงาน AI to ESP32</t>
        </is>
      </c>
    </row>
    <row r="2">
      <c r="A2" s="2" t="inlineStr">
        <is>
          <t>ว31101 ม.4 | Pre/Post อย่างละ 10 ข้อ | ผลงานปฏิบัติ 90 + Post-test 10</t>
        </is>
      </c>
    </row>
    <row r="4">
      <c r="A4" s="3" t="inlineStr">
        <is>
          <t>นักเรียนที่กรอกชื่อ</t>
        </is>
      </c>
      <c r="B4" s="3" t="inlineStr">
        <is>
          <t>ผ่าน Post-test</t>
        </is>
      </c>
      <c r="C4" s="3" t="inlineStr">
        <is>
          <t>ไม่ผ่าน</t>
        </is>
      </c>
      <c r="D4" s="3" t="inlineStr">
        <is>
          <t>Pre เฉลี่ย %</t>
        </is>
      </c>
      <c r="E4" s="3" t="inlineStr">
        <is>
          <t>Post เฉลี่ย %</t>
        </is>
      </c>
      <c r="F4" s="3" t="inlineStr">
        <is>
          <t>พัฒนาการเฉลี่ย</t>
        </is>
      </c>
      <c r="G4" s="3" t="inlineStr">
        <is>
          <t>หลักฐานที่ควรพิจารณาร่วมกับคะแนน</t>
        </is>
      </c>
    </row>
    <row r="5">
      <c r="A5" s="7">
        <f>COUNTIF(คะแนนรายบุคคล!B5:B44,"&lt;&gt;")</f>
        <v/>
      </c>
      <c r="B5" s="7">
        <f>COUNTIF(คะแนนรายบุคคล!I5:I44,"ผ่าน")</f>
        <v/>
      </c>
      <c r="C5" s="7">
        <f>COUNTIF(คะแนนรายบุคคล!I5:I44,"ไม่ผ่าน")</f>
        <v/>
      </c>
      <c r="D5" s="7">
        <f>IFERROR(AVERAGE(คะแนนรายบุคคล!F5:F44),0)</f>
        <v/>
      </c>
      <c r="E5" s="7">
        <f>IFERROR(AVERAGE(คะแนนรายบุคคล!H5:H44),0)</f>
        <v/>
      </c>
      <c r="F5" s="7">
        <f>IFERROR(AVERAGE(คะแนนรายบุคคล!J5:J44),0)</f>
        <v/>
      </c>
      <c r="G5" s="8" t="inlineStr">
        <is>
          <t>• System Flow + Input–Process–Output
• Challenge Before/After Feedback
• Application Design Card
• การสุ่มถามสมาชิก
• ผลปฏิบัติจริง 90 คะแนน
• Post-test 10 คะแนน</t>
        </is>
      </c>
    </row>
    <row r="6"/>
    <row r="7"/>
    <row r="8">
      <c r="A8" s="3" t="inlineStr">
        <is>
          <t>กลุ่ม</t>
        </is>
      </c>
      <c r="B8" s="3" t="inlineStr">
        <is>
          <t>จำนวนนักเรียน</t>
        </is>
      </c>
      <c r="C8" s="3" t="inlineStr">
        <is>
          <t>ผ่าน</t>
        </is>
      </c>
      <c r="D8" s="3" t="inlineStr">
        <is>
          <t>Post เฉลี่ย %</t>
        </is>
      </c>
      <c r="E8" s="3" t="inlineStr">
        <is>
          <t>คะแนนรวมเฉลี่ย /100</t>
        </is>
      </c>
    </row>
    <row r="9">
      <c r="A9" s="4" t="n">
        <v>1</v>
      </c>
      <c r="B9" s="4">
        <f>COUNTIFS(คะแนนรายบุคคล!D5:D44,A9,คะแนนรายบุคคล!B5:B44,"&lt;&gt;")</f>
        <v/>
      </c>
      <c r="C9" s="4">
        <f>COUNTIFS(คะแนนรายบุคคล!D5:D44,A9,คะแนนรายบุคคล!I5:I44,"ผ่าน")</f>
        <v/>
      </c>
      <c r="D9" s="4">
        <f>IFERROR(AVERAGEIFS(คะแนนรายบุคคล!H5:H44,คะแนนรายบุคคล!D5:D44,A9),0)</f>
        <v/>
      </c>
      <c r="E9" s="4">
        <f>IFERROR(AVERAGEIFS(คะแนนรายบุคคล!S5:S44,คะแนนรายบุคคล!D5:D44,A9),0)</f>
        <v/>
      </c>
    </row>
    <row r="10">
      <c r="A10" s="4" t="n">
        <v>2</v>
      </c>
      <c r="B10" s="4">
        <f>COUNTIFS(คะแนนรายบุคคล!D5:D44,A10,คะแนนรายบุคคล!B5:B44,"&lt;&gt;")</f>
        <v/>
      </c>
      <c r="C10" s="4">
        <f>COUNTIFS(คะแนนรายบุคคล!D5:D44,A10,คะแนนรายบุคคล!I5:I44,"ผ่าน")</f>
        <v/>
      </c>
      <c r="D10" s="4">
        <f>IFERROR(AVERAGEIFS(คะแนนรายบุคคล!H5:H44,คะแนนรายบุคคล!D5:D44,A10),0)</f>
        <v/>
      </c>
      <c r="E10" s="4">
        <f>IFERROR(AVERAGEIFS(คะแนนรายบุคคล!S5:S44,คะแนนรายบุคคล!D5:D44,A10),0)</f>
        <v/>
      </c>
    </row>
    <row r="11">
      <c r="A11" s="4" t="n">
        <v>3</v>
      </c>
      <c r="B11" s="4">
        <f>COUNTIFS(คะแนนรายบุคคล!D5:D44,A11,คะแนนรายบุคคล!B5:B44,"&lt;&gt;")</f>
        <v/>
      </c>
      <c r="C11" s="4">
        <f>COUNTIFS(คะแนนรายบุคคล!D5:D44,A11,คะแนนรายบุคคล!I5:I44,"ผ่าน")</f>
        <v/>
      </c>
      <c r="D11" s="4">
        <f>IFERROR(AVERAGEIFS(คะแนนรายบุคคล!H5:H44,คะแนนรายบุคคล!D5:D44,A11),0)</f>
        <v/>
      </c>
      <c r="E11" s="4">
        <f>IFERROR(AVERAGEIFS(คะแนนรายบุคคล!S5:S44,คะแนนรายบุคคล!D5:D44,A11),0)</f>
        <v/>
      </c>
    </row>
    <row r="12">
      <c r="A12" s="4" t="n">
        <v>4</v>
      </c>
      <c r="B12" s="4">
        <f>COUNTIFS(คะแนนรายบุคคล!D5:D44,A12,คะแนนรายบุคคล!B5:B44,"&lt;&gt;")</f>
        <v/>
      </c>
      <c r="C12" s="4">
        <f>COUNTIFS(คะแนนรายบุคคล!D5:D44,A12,คะแนนรายบุคคล!I5:I44,"ผ่าน")</f>
        <v/>
      </c>
      <c r="D12" s="4">
        <f>IFERROR(AVERAGEIFS(คะแนนรายบุคคล!H5:H44,คะแนนรายบุคคล!D5:D44,A12),0)</f>
        <v/>
      </c>
      <c r="E12" s="4">
        <f>IFERROR(AVERAGEIFS(คะแนนรายบุคคล!S5:S44,คะแนนรายบุคคล!D5:D44,A12),0)</f>
        <v/>
      </c>
    </row>
    <row r="13">
      <c r="A13" s="4" t="n">
        <v>5</v>
      </c>
      <c r="B13" s="4">
        <f>COUNTIFS(คะแนนรายบุคคล!D5:D44,A13,คะแนนรายบุคคล!B5:B44,"&lt;&gt;")</f>
        <v/>
      </c>
      <c r="C13" s="4">
        <f>COUNTIFS(คะแนนรายบุคคล!D5:D44,A13,คะแนนรายบุคคล!I5:I44,"ผ่าน")</f>
        <v/>
      </c>
      <c r="D13" s="4">
        <f>IFERROR(AVERAGEIFS(คะแนนรายบุคคล!H5:H44,คะแนนรายบุคคล!D5:D44,A13),0)</f>
        <v/>
      </c>
      <c r="E13" s="4">
        <f>IFERROR(AVERAGEIFS(คะแนนรายบุคคล!S5:S44,คะแนนรายบุคคล!D5:D44,A13),0)</f>
        <v/>
      </c>
    </row>
    <row r="14">
      <c r="A14" s="4" t="n">
        <v>6</v>
      </c>
      <c r="B14" s="4">
        <f>COUNTIFS(คะแนนรายบุคคล!D5:D44,A14,คะแนนรายบุคคล!B5:B44,"&lt;&gt;")</f>
        <v/>
      </c>
      <c r="C14" s="4">
        <f>COUNTIFS(คะแนนรายบุคคล!D5:D44,A14,คะแนนรายบุคคล!I5:I44,"ผ่าน")</f>
        <v/>
      </c>
      <c r="D14" s="4">
        <f>IFERROR(AVERAGEIFS(คะแนนรายบุคคล!H5:H44,คะแนนรายบุคคล!D5:D44,A14),0)</f>
        <v/>
      </c>
      <c r="E14" s="4">
        <f>IFERROR(AVERAGEIFS(คะแนนรายบุคคล!S5:S44,คะแนนรายบุคคล!D5:D44,A14),0)</f>
        <v/>
      </c>
    </row>
    <row r="15">
      <c r="A15" s="4" t="n">
        <v>7</v>
      </c>
      <c r="B15" s="4">
        <f>COUNTIFS(คะแนนรายบุคคล!D5:D44,A15,คะแนนรายบุคคล!B5:B44,"&lt;&gt;")</f>
        <v/>
      </c>
      <c r="C15" s="4">
        <f>COUNTIFS(คะแนนรายบุคคล!D5:D44,A15,คะแนนรายบุคคล!I5:I44,"ผ่าน")</f>
        <v/>
      </c>
      <c r="D15" s="4">
        <f>IFERROR(AVERAGEIFS(คะแนนรายบุคคล!H5:H44,คะแนนรายบุคคล!D5:D44,A15),0)</f>
        <v/>
      </c>
      <c r="E15" s="4">
        <f>IFERROR(AVERAGEIFS(คะแนนรายบุคคล!S5:S44,คะแนนรายบุคคล!D5:D44,A15),0)</f>
        <v/>
      </c>
    </row>
    <row r="16">
      <c r="A16" s="4" t="n">
        <v>8</v>
      </c>
      <c r="B16" s="4">
        <f>COUNTIFS(คะแนนรายบุคคล!D5:D44,A16,คะแนนรายบุคคล!B5:B44,"&lt;&gt;")</f>
        <v/>
      </c>
      <c r="C16" s="4">
        <f>COUNTIFS(คะแนนรายบุคคล!D5:D44,A16,คะแนนรายบุคคล!I5:I44,"ผ่าน")</f>
        <v/>
      </c>
      <c r="D16" s="4">
        <f>IFERROR(AVERAGEIFS(คะแนนรายบุคคล!H5:H44,คะแนนรายบุคคล!D5:D44,A16),0)</f>
        <v/>
      </c>
      <c r="E16" s="4">
        <f>IFERROR(AVERAGEIFS(คะแนนรายบุคคล!S5:S44,คะแนนรายบุคคล!D5:D44,A16),0)</f>
        <v/>
      </c>
    </row>
  </sheetData>
  <mergeCells count="4">
    <mergeCell ref="A1:J1"/>
    <mergeCell ref="G4:J4"/>
    <mergeCell ref="G5:J9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9" customWidth="1" min="1" max="1"/>
    <col width="12" customWidth="1" min="2" max="2"/>
    <col width="22" customWidth="1" min="3" max="3"/>
    <col width="46" customWidth="1" min="4" max="4"/>
  </cols>
  <sheetData>
    <row r="1">
      <c r="A1" s="1" t="inlineStr">
        <is>
          <t>เกณฑ์คะแนนรวม 100 คะแนน</t>
        </is>
      </c>
    </row>
    <row r="3">
      <c r="A3" s="3" t="inlineStr">
        <is>
          <t>องค์ประกอบ</t>
        </is>
      </c>
      <c r="B3" s="3" t="inlineStr">
        <is>
          <t>คะแนนเต็ม</t>
        </is>
      </c>
      <c r="C3" s="3" t="inlineStr">
        <is>
          <t>เกณฑ์คุณภาพ</t>
        </is>
      </c>
      <c r="D3" s="3" t="inlineStr">
        <is>
          <t>หลักฐาน</t>
        </is>
      </c>
    </row>
    <row r="4">
      <c r="A4" s="5" t="inlineStr">
        <is>
          <t>Post-test</t>
        </is>
      </c>
      <c r="B4" s="4" t="n">
        <v>10</v>
      </c>
      <c r="C4" s="5" t="inlineStr">
        <is>
          <t>ผ่าน 7/10</t>
        </is>
      </c>
      <c r="D4" s="5" t="inlineStr">
        <is>
          <t>ผลจาก AI Hand Quest / Teacher Dashboard</t>
        </is>
      </c>
    </row>
    <row r="5">
      <c r="A5" s="5" t="inlineStr">
        <is>
          <t>AI / Browser Station</t>
        </is>
      </c>
      <c r="B5" s="4" t="n">
        <v>10</v>
      </c>
      <c r="C5" s="5" t="inlineStr">
        <is>
          <t>ระดับดีขึ้นไป</t>
        </is>
      </c>
      <c r="D5" s="5" t="inlineStr">
        <is>
          <t>Prediction / คำอธิบาย</t>
        </is>
      </c>
    </row>
    <row r="6">
      <c r="A6" s="5" t="inlineStr">
        <is>
          <t>ESP32 / Output Station</t>
        </is>
      </c>
      <c r="B6" s="4" t="n">
        <v>10</v>
      </c>
      <c r="C6" s="5" t="inlineStr">
        <is>
          <t>ระดับดีขึ้นไป</t>
        </is>
      </c>
      <c r="D6" s="5" t="inlineStr">
        <is>
          <t>/on /off / Web Server / GPIO</t>
        </is>
      </c>
    </row>
    <row r="7">
      <c r="A7" s="5" t="inlineStr">
        <is>
          <t>Integration &amp; Data Flow</t>
        </is>
      </c>
      <c r="B7" s="4" t="n">
        <v>20</v>
      </c>
      <c r="C7" s="5" t="inlineStr">
        <is>
          <t>ระดับดีขึ้นไป</t>
        </is>
      </c>
      <c r="D7" s="5" t="inlineStr">
        <is>
          <t>End-to-End Test</t>
        </is>
      </c>
    </row>
    <row r="8">
      <c r="A8" s="5" t="inlineStr">
        <is>
          <t>System Flow + IPO</t>
        </is>
      </c>
      <c r="B8" s="4" t="n">
        <v>15</v>
      </c>
      <c r="C8" s="5" t="inlineStr">
        <is>
          <t>ระดับดีขึ้นไป</t>
        </is>
      </c>
      <c r="D8" s="5" t="inlineStr">
        <is>
          <t>แผนภาพและคำอธิบาย</t>
        </is>
      </c>
    </row>
    <row r="9">
      <c r="A9" s="5" t="inlineStr">
        <is>
          <t>Challenge Debugging</t>
        </is>
      </c>
      <c r="B9" s="4" t="n">
        <v>20</v>
      </c>
      <c r="C9" s="5" t="inlineStr">
        <is>
          <t>ระดับดีขึ้นไป</t>
        </is>
      </c>
      <c r="D9" s="5" t="inlineStr">
        <is>
          <t>Before / Feedback / After</t>
        </is>
      </c>
    </row>
    <row r="10">
      <c r="A10" s="5" t="inlineStr">
        <is>
          <t>Application to Real Life</t>
        </is>
      </c>
      <c r="B10" s="4" t="n">
        <v>10</v>
      </c>
      <c r="C10" s="5" t="inlineStr">
        <is>
          <t>ระดับดีขึ้นไป</t>
        </is>
      </c>
      <c r="D10" s="5" t="inlineStr">
        <is>
          <t>Application Design Card</t>
        </is>
      </c>
    </row>
    <row r="11">
      <c r="A11" s="5" t="inlineStr">
        <is>
          <t>Collaborative Learning</t>
        </is>
      </c>
      <c r="B11" s="4" t="n">
        <v>5</v>
      </c>
      <c r="C11" s="5" t="inlineStr">
        <is>
          <t>ระดับดีขึ้นไป</t>
        </is>
      </c>
      <c r="D11" s="5" t="inlineStr">
        <is>
          <t>Peer Teaching / สุ่มถามสมาชิก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9" t="inlineStr">
        <is>
          <t>รูปแบบข้อมูลจาก Teacher Dashboard / Supabase</t>
        </is>
      </c>
    </row>
    <row r="3">
      <c r="A3" s="3" t="inlineStr">
        <is>
          <t>created_at</t>
        </is>
      </c>
      <c r="B3" s="3" t="inlineStr">
        <is>
          <t>name</t>
        </is>
      </c>
      <c r="C3" s="3" t="inlineStr">
        <is>
          <t>student_no</t>
        </is>
      </c>
      <c r="D3" s="3" t="inlineStr">
        <is>
          <t>room</t>
        </is>
      </c>
      <c r="E3" s="3" t="inlineStr">
        <is>
          <t>group_no</t>
        </is>
      </c>
      <c r="F3" s="3" t="inlineStr">
        <is>
          <t>mode</t>
        </is>
      </c>
      <c r="G3" s="3" t="inlineStr">
        <is>
          <t>pre_score</t>
        </is>
      </c>
      <c r="H3" s="3" t="inlineStr">
        <is>
          <t>pre_percent</t>
        </is>
      </c>
      <c r="I3" s="3" t="inlineStr">
        <is>
          <t>post_score</t>
        </is>
      </c>
      <c r="J3" s="3" t="inlineStr">
        <is>
          <t>post_percent</t>
        </is>
      </c>
      <c r="K3" s="3" t="inlineStr">
        <is>
          <t>passed</t>
        </is>
      </c>
      <c r="L3" s="3" t="inlineStr">
        <is>
          <t>gain_percentage_points</t>
        </is>
      </c>
      <c r="M3" s="3" t="inlineStr">
        <is>
          <t>game_score</t>
        </is>
      </c>
      <c r="N3" s="3" t="inlineStr">
        <is>
          <t>first_try</t>
        </is>
      </c>
      <c r="O3" s="3" t="inlineStr">
        <is>
          <t>attempts</t>
        </is>
      </c>
      <c r="P3" s="3" t="inlineStr">
        <is>
          <t>control</t>
        </is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2026-08-25T02:45:25Z</dcterms:created>
  <dcterms:modified xsi:type="dcterms:W3CDTF">2026-08-25T02:45:25Z</dcterms:modified>
</cp:coreProperties>
</file>