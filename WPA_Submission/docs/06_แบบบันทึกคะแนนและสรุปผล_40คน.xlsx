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ะแนนรายบุคคล" sheetId="1" state="visible" r:id="rId1"/>
    <sheet name="Dashboard" sheetId="2" state="visible" r:id="rId2"/>
    <sheet name="เกณฑ์คะแนน" sheetId="3" state="visible" r:id="rId3"/>
    <sheet name="นำเข้า_AR_CS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Thai"/>
      <b val="1"/>
      <color rgb="00FFFFFF"/>
      <sz val="16"/>
    </font>
    <font>
      <name val="Noto Sans Thai"/>
      <b val="1"/>
    </font>
    <font>
      <name val="Noto Sans Thai"/>
      <b val="1"/>
      <color rgb="00FFFFFF"/>
      <sz val="11"/>
    </font>
    <font>
      <name val="Noto Sans Thai"/>
      <sz val="10"/>
    </font>
    <font>
      <name val="Noto Sans Thai"/>
      <b val="1"/>
      <color rgb="00FFFFFF"/>
      <sz val="15"/>
    </font>
    <font>
      <name val="Noto Sans Thai"/>
      <b val="1"/>
      <color rgb="00FFFFFF"/>
      <sz val="14"/>
    </font>
    <font>
      <name val="Noto Sans Thai"/>
      <b val="1"/>
      <color rgb="00FFFFFF"/>
      <sz val="17"/>
    </font>
    <font>
      <name val="Noto Sans Thai"/>
      <b val="1"/>
      <sz val="15"/>
    </font>
  </fonts>
  <fills count="6">
    <fill>
      <patternFill/>
    </fill>
    <fill>
      <patternFill patternType="gray125"/>
    </fill>
    <fill>
      <patternFill patternType="solid">
        <fgColor rgb="00123B46"/>
      </patternFill>
    </fill>
    <fill>
      <patternFill patternType="solid">
        <fgColor rgb="00DFF1F4"/>
      </patternFill>
    </fill>
    <fill>
      <patternFill patternType="solid">
        <fgColor rgb="000F6B78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Post-test เฉลี่ยรายกลุ่ม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'Dashboard'!D8</f>
            </strRef>
          </tx>
          <spPr>
            <a:ln>
              <a:prstDash val="solid"/>
            </a:ln>
          </spPr>
          <cat>
            <numRef>
              <f>'Dashboard'!$A$9:$A$16</f>
            </numRef>
          </cat>
          <val>
            <numRef>
              <f>'Dashboard'!$D$9:$D$16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กลุ่ม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เปอร์เซ็นต์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10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5" customWidth="1" min="9" max="9"/>
    <col width="9" customWidth="1" min="10" max="10"/>
    <col width="11" customWidth="1" min="11" max="11"/>
    <col width="14" customWidth="1" min="12" max="12"/>
    <col width="9" customWidth="1" min="13" max="13"/>
    <col width="10" customWidth="1" min="14" max="14"/>
    <col width="15" customWidth="1" min="15" max="15"/>
    <col width="12" customWidth="1" min="16" max="16"/>
    <col width="12" customWidth="1" min="17" max="17"/>
    <col width="16" customWidth="1" min="18" max="18"/>
    <col width="22" customWidth="1" min="19" max="19"/>
  </cols>
  <sheetData>
    <row r="1">
      <c r="A1" s="1" t="inlineStr">
        <is>
          <t>แบบบันทึกคะแนนและสรุปผล AI to ESP32 — ว31101 ม.4/5</t>
        </is>
      </c>
    </row>
    <row r="2">
      <c r="A2" s="2" t="inlineStr">
        <is>
          <t>ครูผู้สอน นายศิวัสว์ โตนอก | ภาคเรียนที่ 1 ปีการศึกษา 2569 | นักเรียน 40 คน | 8 กลุ่ม กลุ่มละ 5 คน</t>
        </is>
      </c>
    </row>
    <row r="4" ht="38" customHeight="1">
      <c r="A4" s="3" t="inlineStr">
        <is>
          <t>เลขที่</t>
        </is>
      </c>
      <c r="B4" s="3" t="inlineStr">
        <is>
          <t>ชื่อ-สกุล</t>
        </is>
      </c>
      <c r="C4" s="3" t="inlineStr">
        <is>
          <t>กลุ่ม</t>
        </is>
      </c>
      <c r="D4" s="3" t="inlineStr">
        <is>
          <t>Pre /5</t>
        </is>
      </c>
      <c r="E4" s="3" t="inlineStr">
        <is>
          <t>Pre %</t>
        </is>
      </c>
      <c r="F4" s="3" t="inlineStr">
        <is>
          <t>Post /10</t>
        </is>
      </c>
      <c r="G4" s="3" t="inlineStr">
        <is>
          <t>Post %</t>
        </is>
      </c>
      <c r="H4" s="3" t="inlineStr">
        <is>
          <t>ผล 70%</t>
        </is>
      </c>
      <c r="I4" s="3" t="inlineStr">
        <is>
          <t>พัฒนาการ (จุด%)</t>
        </is>
      </c>
      <c r="J4" s="3" t="inlineStr">
        <is>
          <t>AI /15</t>
        </is>
      </c>
      <c r="K4" s="3" t="inlineStr">
        <is>
          <t>ESP32 /15</t>
        </is>
      </c>
      <c r="L4" s="3" t="inlineStr">
        <is>
          <t>Integration /20</t>
        </is>
      </c>
      <c r="M4" s="3" t="inlineStr">
        <is>
          <t>Flow /15</t>
        </is>
      </c>
      <c r="N4" s="3" t="inlineStr">
        <is>
          <t>Debug /20</t>
        </is>
      </c>
      <c r="O4" s="3" t="inlineStr">
        <is>
          <t>Collaborative /5</t>
        </is>
      </c>
      <c r="P4" s="3" t="inlineStr">
        <is>
          <t>ปฏิบัติ /90</t>
        </is>
      </c>
      <c r="Q4" s="3" t="inlineStr">
        <is>
          <t>รวม /100</t>
        </is>
      </c>
      <c r="R4" s="3" t="inlineStr">
        <is>
          <t>Game เสริม /1000</t>
        </is>
      </c>
      <c r="S4" s="3" t="inlineStr">
        <is>
          <t>หมายเหตุ</t>
        </is>
      </c>
    </row>
    <row r="5">
      <c r="A5" s="4" t="n">
        <v>1</v>
      </c>
      <c r="B5" s="5" t="n"/>
      <c r="C5" s="4" t="n">
        <v>1</v>
      </c>
      <c r="D5" s="4" t="n"/>
      <c r="E5" s="4">
        <f>IF(D5="","",D5/5*100)</f>
        <v/>
      </c>
      <c r="F5" s="4" t="n"/>
      <c r="G5" s="4">
        <f>IF(F5="","",F5/10*100)</f>
        <v/>
      </c>
      <c r="H5" s="4">
        <f>IF(G5="","",IF(G5&gt;=70,"ผ่าน","ไม่ผ่าน"))</f>
        <v/>
      </c>
      <c r="I5" s="4">
        <f>IF(OR(E5="",G5=""),"",G5-E5)</f>
        <v/>
      </c>
      <c r="J5" s="4" t="n"/>
      <c r="K5" s="4" t="n"/>
      <c r="L5" s="4" t="n"/>
      <c r="M5" s="4" t="n"/>
      <c r="N5" s="4" t="n"/>
      <c r="O5" s="4" t="n"/>
      <c r="P5" s="4">
        <f>IF(COUNTA(J5:O5)=0,"",SUM(J5:O5))</f>
        <v/>
      </c>
      <c r="Q5" s="4">
        <f>IF(OR(F5="",P5=""),"",F5+P5)</f>
        <v/>
      </c>
      <c r="R5" s="4" t="n"/>
      <c r="S5" s="5" t="n"/>
    </row>
    <row r="6">
      <c r="A6" s="4" t="n">
        <v>2</v>
      </c>
      <c r="B6" s="5" t="n"/>
      <c r="C6" s="4" t="n">
        <v>1</v>
      </c>
      <c r="D6" s="4" t="n"/>
      <c r="E6" s="4">
        <f>IF(D6="","",D6/5*100)</f>
        <v/>
      </c>
      <c r="F6" s="4" t="n"/>
      <c r="G6" s="4">
        <f>IF(F6="","",F6/10*100)</f>
        <v/>
      </c>
      <c r="H6" s="4">
        <f>IF(G6="","",IF(G6&gt;=70,"ผ่าน","ไม่ผ่าน"))</f>
        <v/>
      </c>
      <c r="I6" s="4">
        <f>IF(OR(E6="",G6=""),"",G6-E6)</f>
        <v/>
      </c>
      <c r="J6" s="4" t="n"/>
      <c r="K6" s="4" t="n"/>
      <c r="L6" s="4" t="n"/>
      <c r="M6" s="4" t="n"/>
      <c r="N6" s="4" t="n"/>
      <c r="O6" s="4" t="n"/>
      <c r="P6" s="4">
        <f>IF(COUNTA(J6:O6)=0,"",SUM(J6:O6))</f>
        <v/>
      </c>
      <c r="Q6" s="4">
        <f>IF(OR(F6="",P6=""),"",F6+P6)</f>
        <v/>
      </c>
      <c r="R6" s="4" t="n"/>
      <c r="S6" s="5" t="n"/>
    </row>
    <row r="7">
      <c r="A7" s="4" t="n">
        <v>3</v>
      </c>
      <c r="B7" s="5" t="n"/>
      <c r="C7" s="4" t="n">
        <v>1</v>
      </c>
      <c r="D7" s="4" t="n"/>
      <c r="E7" s="4">
        <f>IF(D7="","",D7/5*100)</f>
        <v/>
      </c>
      <c r="F7" s="4" t="n"/>
      <c r="G7" s="4">
        <f>IF(F7="","",F7/10*100)</f>
        <v/>
      </c>
      <c r="H7" s="4">
        <f>IF(G7="","",IF(G7&gt;=70,"ผ่าน","ไม่ผ่าน"))</f>
        <v/>
      </c>
      <c r="I7" s="4">
        <f>IF(OR(E7="",G7=""),"",G7-E7)</f>
        <v/>
      </c>
      <c r="J7" s="4" t="n"/>
      <c r="K7" s="4" t="n"/>
      <c r="L7" s="4" t="n"/>
      <c r="M7" s="4" t="n"/>
      <c r="N7" s="4" t="n"/>
      <c r="O7" s="4" t="n"/>
      <c r="P7" s="4">
        <f>IF(COUNTA(J7:O7)=0,"",SUM(J7:O7))</f>
        <v/>
      </c>
      <c r="Q7" s="4">
        <f>IF(OR(F7="",P7=""),"",F7+P7)</f>
        <v/>
      </c>
      <c r="R7" s="4" t="n"/>
      <c r="S7" s="5" t="n"/>
    </row>
    <row r="8">
      <c r="A8" s="4" t="n">
        <v>4</v>
      </c>
      <c r="B8" s="5" t="n"/>
      <c r="C8" s="4" t="n">
        <v>1</v>
      </c>
      <c r="D8" s="4" t="n"/>
      <c r="E8" s="4">
        <f>IF(D8="","",D8/5*100)</f>
        <v/>
      </c>
      <c r="F8" s="4" t="n"/>
      <c r="G8" s="4">
        <f>IF(F8="","",F8/10*100)</f>
        <v/>
      </c>
      <c r="H8" s="4">
        <f>IF(G8="","",IF(G8&gt;=70,"ผ่าน","ไม่ผ่าน"))</f>
        <v/>
      </c>
      <c r="I8" s="4">
        <f>IF(OR(E8="",G8=""),"",G8-E8)</f>
        <v/>
      </c>
      <c r="J8" s="4" t="n"/>
      <c r="K8" s="4" t="n"/>
      <c r="L8" s="4" t="n"/>
      <c r="M8" s="4" t="n"/>
      <c r="N8" s="4" t="n"/>
      <c r="O8" s="4" t="n"/>
      <c r="P8" s="4">
        <f>IF(COUNTA(J8:O8)=0,"",SUM(J8:O8))</f>
        <v/>
      </c>
      <c r="Q8" s="4">
        <f>IF(OR(F8="",P8=""),"",F8+P8)</f>
        <v/>
      </c>
      <c r="R8" s="4" t="n"/>
      <c r="S8" s="5" t="n"/>
    </row>
    <row r="9">
      <c r="A9" s="4" t="n">
        <v>5</v>
      </c>
      <c r="B9" s="5" t="n"/>
      <c r="C9" s="4" t="n">
        <v>1</v>
      </c>
      <c r="D9" s="4" t="n"/>
      <c r="E9" s="4">
        <f>IF(D9="","",D9/5*100)</f>
        <v/>
      </c>
      <c r="F9" s="4" t="n"/>
      <c r="G9" s="4">
        <f>IF(F9="","",F9/10*100)</f>
        <v/>
      </c>
      <c r="H9" s="4">
        <f>IF(G9="","",IF(G9&gt;=70,"ผ่าน","ไม่ผ่าน"))</f>
        <v/>
      </c>
      <c r="I9" s="4">
        <f>IF(OR(E9="",G9=""),"",G9-E9)</f>
        <v/>
      </c>
      <c r="J9" s="4" t="n"/>
      <c r="K9" s="4" t="n"/>
      <c r="L9" s="4" t="n"/>
      <c r="M9" s="4" t="n"/>
      <c r="N9" s="4" t="n"/>
      <c r="O9" s="4" t="n"/>
      <c r="P9" s="4">
        <f>IF(COUNTA(J9:O9)=0,"",SUM(J9:O9))</f>
        <v/>
      </c>
      <c r="Q9" s="4">
        <f>IF(OR(F9="",P9=""),"",F9+P9)</f>
        <v/>
      </c>
      <c r="R9" s="4" t="n"/>
      <c r="S9" s="5" t="n"/>
    </row>
    <row r="10">
      <c r="A10" s="4" t="n">
        <v>6</v>
      </c>
      <c r="B10" s="5" t="n"/>
      <c r="C10" s="4" t="n">
        <v>2</v>
      </c>
      <c r="D10" s="4" t="n"/>
      <c r="E10" s="4">
        <f>IF(D10="","",D10/5*100)</f>
        <v/>
      </c>
      <c r="F10" s="4" t="n"/>
      <c r="G10" s="4">
        <f>IF(F10="","",F10/10*100)</f>
        <v/>
      </c>
      <c r="H10" s="4">
        <f>IF(G10="","",IF(G10&gt;=70,"ผ่าน","ไม่ผ่าน"))</f>
        <v/>
      </c>
      <c r="I10" s="4">
        <f>IF(OR(E10="",G10=""),"",G10-E10)</f>
        <v/>
      </c>
      <c r="J10" s="4" t="n"/>
      <c r="K10" s="4" t="n"/>
      <c r="L10" s="4" t="n"/>
      <c r="M10" s="4" t="n"/>
      <c r="N10" s="4" t="n"/>
      <c r="O10" s="4" t="n"/>
      <c r="P10" s="4">
        <f>IF(COUNTA(J10:O10)=0,"",SUM(J10:O10))</f>
        <v/>
      </c>
      <c r="Q10" s="4">
        <f>IF(OR(F10="",P10=""),"",F10+P10)</f>
        <v/>
      </c>
      <c r="R10" s="4" t="n"/>
      <c r="S10" s="5" t="n"/>
    </row>
    <row r="11">
      <c r="A11" s="4" t="n">
        <v>7</v>
      </c>
      <c r="B11" s="5" t="n"/>
      <c r="C11" s="4" t="n">
        <v>2</v>
      </c>
      <c r="D11" s="4" t="n"/>
      <c r="E11" s="4">
        <f>IF(D11="","",D11/5*100)</f>
        <v/>
      </c>
      <c r="F11" s="4" t="n"/>
      <c r="G11" s="4">
        <f>IF(F11="","",F11/10*100)</f>
        <v/>
      </c>
      <c r="H11" s="4">
        <f>IF(G11="","",IF(G11&gt;=70,"ผ่าน","ไม่ผ่าน"))</f>
        <v/>
      </c>
      <c r="I11" s="4">
        <f>IF(OR(E11="",G11=""),"",G11-E11)</f>
        <v/>
      </c>
      <c r="J11" s="4" t="n"/>
      <c r="K11" s="4" t="n"/>
      <c r="L11" s="4" t="n"/>
      <c r="M11" s="4" t="n"/>
      <c r="N11" s="4" t="n"/>
      <c r="O11" s="4" t="n"/>
      <c r="P11" s="4">
        <f>IF(COUNTA(J11:O11)=0,"",SUM(J11:O11))</f>
        <v/>
      </c>
      <c r="Q11" s="4">
        <f>IF(OR(F11="",P11=""),"",F11+P11)</f>
        <v/>
      </c>
      <c r="R11" s="4" t="n"/>
      <c r="S11" s="5" t="n"/>
    </row>
    <row r="12">
      <c r="A12" s="4" t="n">
        <v>8</v>
      </c>
      <c r="B12" s="5" t="n"/>
      <c r="C12" s="4" t="n">
        <v>2</v>
      </c>
      <c r="D12" s="4" t="n"/>
      <c r="E12" s="4">
        <f>IF(D12="","",D12/5*100)</f>
        <v/>
      </c>
      <c r="F12" s="4" t="n"/>
      <c r="G12" s="4">
        <f>IF(F12="","",F12/10*100)</f>
        <v/>
      </c>
      <c r="H12" s="4">
        <f>IF(G12="","",IF(G12&gt;=70,"ผ่าน","ไม่ผ่าน"))</f>
        <v/>
      </c>
      <c r="I12" s="4">
        <f>IF(OR(E12="",G12=""),"",G12-E12)</f>
        <v/>
      </c>
      <c r="J12" s="4" t="n"/>
      <c r="K12" s="4" t="n"/>
      <c r="L12" s="4" t="n"/>
      <c r="M12" s="4" t="n"/>
      <c r="N12" s="4" t="n"/>
      <c r="O12" s="4" t="n"/>
      <c r="P12" s="4">
        <f>IF(COUNTA(J12:O12)=0,"",SUM(J12:O12))</f>
        <v/>
      </c>
      <c r="Q12" s="4">
        <f>IF(OR(F12="",P12=""),"",F12+P12)</f>
        <v/>
      </c>
      <c r="R12" s="4" t="n"/>
      <c r="S12" s="5" t="n"/>
    </row>
    <row r="13">
      <c r="A13" s="4" t="n">
        <v>9</v>
      </c>
      <c r="B13" s="5" t="n"/>
      <c r="C13" s="4" t="n">
        <v>2</v>
      </c>
      <c r="D13" s="4" t="n"/>
      <c r="E13" s="4">
        <f>IF(D13="","",D13/5*100)</f>
        <v/>
      </c>
      <c r="F13" s="4" t="n"/>
      <c r="G13" s="4">
        <f>IF(F13="","",F13/10*100)</f>
        <v/>
      </c>
      <c r="H13" s="4">
        <f>IF(G13="","",IF(G13&gt;=70,"ผ่าน","ไม่ผ่าน"))</f>
        <v/>
      </c>
      <c r="I13" s="4">
        <f>IF(OR(E13="",G13=""),"",G13-E13)</f>
        <v/>
      </c>
      <c r="J13" s="4" t="n"/>
      <c r="K13" s="4" t="n"/>
      <c r="L13" s="4" t="n"/>
      <c r="M13" s="4" t="n"/>
      <c r="N13" s="4" t="n"/>
      <c r="O13" s="4" t="n"/>
      <c r="P13" s="4">
        <f>IF(COUNTA(J13:O13)=0,"",SUM(J13:O13))</f>
        <v/>
      </c>
      <c r="Q13" s="4">
        <f>IF(OR(F13="",P13=""),"",F13+P13)</f>
        <v/>
      </c>
      <c r="R13" s="4" t="n"/>
      <c r="S13" s="5" t="n"/>
    </row>
    <row r="14">
      <c r="A14" s="4" t="n">
        <v>10</v>
      </c>
      <c r="B14" s="5" t="n"/>
      <c r="C14" s="4" t="n">
        <v>2</v>
      </c>
      <c r="D14" s="4" t="n"/>
      <c r="E14" s="4">
        <f>IF(D14="","",D14/5*100)</f>
        <v/>
      </c>
      <c r="F14" s="4" t="n"/>
      <c r="G14" s="4">
        <f>IF(F14="","",F14/10*100)</f>
        <v/>
      </c>
      <c r="H14" s="4">
        <f>IF(G14="","",IF(G14&gt;=70,"ผ่าน","ไม่ผ่าน"))</f>
        <v/>
      </c>
      <c r="I14" s="4">
        <f>IF(OR(E14="",G14=""),"",G14-E14)</f>
        <v/>
      </c>
      <c r="J14" s="4" t="n"/>
      <c r="K14" s="4" t="n"/>
      <c r="L14" s="4" t="n"/>
      <c r="M14" s="4" t="n"/>
      <c r="N14" s="4" t="n"/>
      <c r="O14" s="4" t="n"/>
      <c r="P14" s="4">
        <f>IF(COUNTA(J14:O14)=0,"",SUM(J14:O14))</f>
        <v/>
      </c>
      <c r="Q14" s="4">
        <f>IF(OR(F14="",P14=""),"",F14+P14)</f>
        <v/>
      </c>
      <c r="R14" s="4" t="n"/>
      <c r="S14" s="5" t="n"/>
    </row>
    <row r="15">
      <c r="A15" s="4" t="n">
        <v>11</v>
      </c>
      <c r="B15" s="5" t="n"/>
      <c r="C15" s="4" t="n">
        <v>3</v>
      </c>
      <c r="D15" s="4" t="n"/>
      <c r="E15" s="4">
        <f>IF(D15="","",D15/5*100)</f>
        <v/>
      </c>
      <c r="F15" s="4" t="n"/>
      <c r="G15" s="4">
        <f>IF(F15="","",F15/10*100)</f>
        <v/>
      </c>
      <c r="H15" s="4">
        <f>IF(G15="","",IF(G15&gt;=70,"ผ่าน","ไม่ผ่าน"))</f>
        <v/>
      </c>
      <c r="I15" s="4">
        <f>IF(OR(E15="",G15=""),"",G15-E15)</f>
        <v/>
      </c>
      <c r="J15" s="4" t="n"/>
      <c r="K15" s="4" t="n"/>
      <c r="L15" s="4" t="n"/>
      <c r="M15" s="4" t="n"/>
      <c r="N15" s="4" t="n"/>
      <c r="O15" s="4" t="n"/>
      <c r="P15" s="4">
        <f>IF(COUNTA(J15:O15)=0,"",SUM(J15:O15))</f>
        <v/>
      </c>
      <c r="Q15" s="4">
        <f>IF(OR(F15="",P15=""),"",F15+P15)</f>
        <v/>
      </c>
      <c r="R15" s="4" t="n"/>
      <c r="S15" s="5" t="n"/>
    </row>
    <row r="16">
      <c r="A16" s="4" t="n">
        <v>12</v>
      </c>
      <c r="B16" s="5" t="n"/>
      <c r="C16" s="4" t="n">
        <v>3</v>
      </c>
      <c r="D16" s="4" t="n"/>
      <c r="E16" s="4">
        <f>IF(D16="","",D16/5*100)</f>
        <v/>
      </c>
      <c r="F16" s="4" t="n"/>
      <c r="G16" s="4">
        <f>IF(F16="","",F16/10*100)</f>
        <v/>
      </c>
      <c r="H16" s="4">
        <f>IF(G16="","",IF(G16&gt;=70,"ผ่าน","ไม่ผ่าน"))</f>
        <v/>
      </c>
      <c r="I16" s="4">
        <f>IF(OR(E16="",G16=""),"",G16-E16)</f>
        <v/>
      </c>
      <c r="J16" s="4" t="n"/>
      <c r="K16" s="4" t="n"/>
      <c r="L16" s="4" t="n"/>
      <c r="M16" s="4" t="n"/>
      <c r="N16" s="4" t="n"/>
      <c r="O16" s="4" t="n"/>
      <c r="P16" s="4">
        <f>IF(COUNTA(J16:O16)=0,"",SUM(J16:O16))</f>
        <v/>
      </c>
      <c r="Q16" s="4">
        <f>IF(OR(F16="",P16=""),"",F16+P16)</f>
        <v/>
      </c>
      <c r="R16" s="4" t="n"/>
      <c r="S16" s="5" t="n"/>
    </row>
    <row r="17">
      <c r="A17" s="4" t="n">
        <v>13</v>
      </c>
      <c r="B17" s="5" t="n"/>
      <c r="C17" s="4" t="n">
        <v>3</v>
      </c>
      <c r="D17" s="4" t="n"/>
      <c r="E17" s="4">
        <f>IF(D17="","",D17/5*100)</f>
        <v/>
      </c>
      <c r="F17" s="4" t="n"/>
      <c r="G17" s="4">
        <f>IF(F17="","",F17/10*100)</f>
        <v/>
      </c>
      <c r="H17" s="4">
        <f>IF(G17="","",IF(G17&gt;=70,"ผ่าน","ไม่ผ่าน"))</f>
        <v/>
      </c>
      <c r="I17" s="4">
        <f>IF(OR(E17="",G17=""),"",G17-E17)</f>
        <v/>
      </c>
      <c r="J17" s="4" t="n"/>
      <c r="K17" s="4" t="n"/>
      <c r="L17" s="4" t="n"/>
      <c r="M17" s="4" t="n"/>
      <c r="N17" s="4" t="n"/>
      <c r="O17" s="4" t="n"/>
      <c r="P17" s="4">
        <f>IF(COUNTA(J17:O17)=0,"",SUM(J17:O17))</f>
        <v/>
      </c>
      <c r="Q17" s="4">
        <f>IF(OR(F17="",P17=""),"",F17+P17)</f>
        <v/>
      </c>
      <c r="R17" s="4" t="n"/>
      <c r="S17" s="5" t="n"/>
    </row>
    <row r="18">
      <c r="A18" s="4" t="n">
        <v>14</v>
      </c>
      <c r="B18" s="5" t="n"/>
      <c r="C18" s="4" t="n">
        <v>3</v>
      </c>
      <c r="D18" s="4" t="n"/>
      <c r="E18" s="4">
        <f>IF(D18="","",D18/5*100)</f>
        <v/>
      </c>
      <c r="F18" s="4" t="n"/>
      <c r="G18" s="4">
        <f>IF(F18="","",F18/10*100)</f>
        <v/>
      </c>
      <c r="H18" s="4">
        <f>IF(G18="","",IF(G18&gt;=70,"ผ่าน","ไม่ผ่าน"))</f>
        <v/>
      </c>
      <c r="I18" s="4">
        <f>IF(OR(E18="",G18=""),"",G18-E18)</f>
        <v/>
      </c>
      <c r="J18" s="4" t="n"/>
      <c r="K18" s="4" t="n"/>
      <c r="L18" s="4" t="n"/>
      <c r="M18" s="4" t="n"/>
      <c r="N18" s="4" t="n"/>
      <c r="O18" s="4" t="n"/>
      <c r="P18" s="4">
        <f>IF(COUNTA(J18:O18)=0,"",SUM(J18:O18))</f>
        <v/>
      </c>
      <c r="Q18" s="4">
        <f>IF(OR(F18="",P18=""),"",F18+P18)</f>
        <v/>
      </c>
      <c r="R18" s="4" t="n"/>
      <c r="S18" s="5" t="n"/>
    </row>
    <row r="19">
      <c r="A19" s="4" t="n">
        <v>15</v>
      </c>
      <c r="B19" s="5" t="n"/>
      <c r="C19" s="4" t="n">
        <v>3</v>
      </c>
      <c r="D19" s="4" t="n"/>
      <c r="E19" s="4">
        <f>IF(D19="","",D19/5*100)</f>
        <v/>
      </c>
      <c r="F19" s="4" t="n"/>
      <c r="G19" s="4">
        <f>IF(F19="","",F19/10*100)</f>
        <v/>
      </c>
      <c r="H19" s="4">
        <f>IF(G19="","",IF(G19&gt;=70,"ผ่าน","ไม่ผ่าน"))</f>
        <v/>
      </c>
      <c r="I19" s="4">
        <f>IF(OR(E19="",G19=""),"",G19-E19)</f>
        <v/>
      </c>
      <c r="J19" s="4" t="n"/>
      <c r="K19" s="4" t="n"/>
      <c r="L19" s="4" t="n"/>
      <c r="M19" s="4" t="n"/>
      <c r="N19" s="4" t="n"/>
      <c r="O19" s="4" t="n"/>
      <c r="P19" s="4">
        <f>IF(COUNTA(J19:O19)=0,"",SUM(J19:O19))</f>
        <v/>
      </c>
      <c r="Q19" s="4">
        <f>IF(OR(F19="",P19=""),"",F19+P19)</f>
        <v/>
      </c>
      <c r="R19" s="4" t="n"/>
      <c r="S19" s="5" t="n"/>
    </row>
    <row r="20">
      <c r="A20" s="4" t="n">
        <v>16</v>
      </c>
      <c r="B20" s="5" t="n"/>
      <c r="C20" s="4" t="n">
        <v>4</v>
      </c>
      <c r="D20" s="4" t="n"/>
      <c r="E20" s="4">
        <f>IF(D20="","",D20/5*100)</f>
        <v/>
      </c>
      <c r="F20" s="4" t="n"/>
      <c r="G20" s="4">
        <f>IF(F20="","",F20/10*100)</f>
        <v/>
      </c>
      <c r="H20" s="4">
        <f>IF(G20="","",IF(G20&gt;=70,"ผ่าน","ไม่ผ่าน"))</f>
        <v/>
      </c>
      <c r="I20" s="4">
        <f>IF(OR(E20="",G20=""),"",G20-E20)</f>
        <v/>
      </c>
      <c r="J20" s="4" t="n"/>
      <c r="K20" s="4" t="n"/>
      <c r="L20" s="4" t="n"/>
      <c r="M20" s="4" t="n"/>
      <c r="N20" s="4" t="n"/>
      <c r="O20" s="4" t="n"/>
      <c r="P20" s="4">
        <f>IF(COUNTA(J20:O20)=0,"",SUM(J20:O20))</f>
        <v/>
      </c>
      <c r="Q20" s="4">
        <f>IF(OR(F20="",P20=""),"",F20+P20)</f>
        <v/>
      </c>
      <c r="R20" s="4" t="n"/>
      <c r="S20" s="5" t="n"/>
    </row>
    <row r="21">
      <c r="A21" s="4" t="n">
        <v>17</v>
      </c>
      <c r="B21" s="5" t="n"/>
      <c r="C21" s="4" t="n">
        <v>4</v>
      </c>
      <c r="D21" s="4" t="n"/>
      <c r="E21" s="4">
        <f>IF(D21="","",D21/5*100)</f>
        <v/>
      </c>
      <c r="F21" s="4" t="n"/>
      <c r="G21" s="4">
        <f>IF(F21="","",F21/10*100)</f>
        <v/>
      </c>
      <c r="H21" s="4">
        <f>IF(G21="","",IF(G21&gt;=70,"ผ่าน","ไม่ผ่าน"))</f>
        <v/>
      </c>
      <c r="I21" s="4">
        <f>IF(OR(E21="",G21=""),"",G21-E21)</f>
        <v/>
      </c>
      <c r="J21" s="4" t="n"/>
      <c r="K21" s="4" t="n"/>
      <c r="L21" s="4" t="n"/>
      <c r="M21" s="4" t="n"/>
      <c r="N21" s="4" t="n"/>
      <c r="O21" s="4" t="n"/>
      <c r="P21" s="4">
        <f>IF(COUNTA(J21:O21)=0,"",SUM(J21:O21))</f>
        <v/>
      </c>
      <c r="Q21" s="4">
        <f>IF(OR(F21="",P21=""),"",F21+P21)</f>
        <v/>
      </c>
      <c r="R21" s="4" t="n"/>
      <c r="S21" s="5" t="n"/>
    </row>
    <row r="22">
      <c r="A22" s="4" t="n">
        <v>18</v>
      </c>
      <c r="B22" s="5" t="n"/>
      <c r="C22" s="4" t="n">
        <v>4</v>
      </c>
      <c r="D22" s="4" t="n"/>
      <c r="E22" s="4">
        <f>IF(D22="","",D22/5*100)</f>
        <v/>
      </c>
      <c r="F22" s="4" t="n"/>
      <c r="G22" s="4">
        <f>IF(F22="","",F22/10*100)</f>
        <v/>
      </c>
      <c r="H22" s="4">
        <f>IF(G22="","",IF(G22&gt;=70,"ผ่าน","ไม่ผ่าน"))</f>
        <v/>
      </c>
      <c r="I22" s="4">
        <f>IF(OR(E22="",G22=""),"",G22-E22)</f>
        <v/>
      </c>
      <c r="J22" s="4" t="n"/>
      <c r="K22" s="4" t="n"/>
      <c r="L22" s="4" t="n"/>
      <c r="M22" s="4" t="n"/>
      <c r="N22" s="4" t="n"/>
      <c r="O22" s="4" t="n"/>
      <c r="P22" s="4">
        <f>IF(COUNTA(J22:O22)=0,"",SUM(J22:O22))</f>
        <v/>
      </c>
      <c r="Q22" s="4">
        <f>IF(OR(F22="",P22=""),"",F22+P22)</f>
        <v/>
      </c>
      <c r="R22" s="4" t="n"/>
      <c r="S22" s="5" t="n"/>
    </row>
    <row r="23">
      <c r="A23" s="4" t="n">
        <v>19</v>
      </c>
      <c r="B23" s="5" t="n"/>
      <c r="C23" s="4" t="n">
        <v>4</v>
      </c>
      <c r="D23" s="4" t="n"/>
      <c r="E23" s="4">
        <f>IF(D23="","",D23/5*100)</f>
        <v/>
      </c>
      <c r="F23" s="4" t="n"/>
      <c r="G23" s="4">
        <f>IF(F23="","",F23/10*100)</f>
        <v/>
      </c>
      <c r="H23" s="4">
        <f>IF(G23="","",IF(G23&gt;=70,"ผ่าน","ไม่ผ่าน"))</f>
        <v/>
      </c>
      <c r="I23" s="4">
        <f>IF(OR(E23="",G23=""),"",G23-E23)</f>
        <v/>
      </c>
      <c r="J23" s="4" t="n"/>
      <c r="K23" s="4" t="n"/>
      <c r="L23" s="4" t="n"/>
      <c r="M23" s="4" t="n"/>
      <c r="N23" s="4" t="n"/>
      <c r="O23" s="4" t="n"/>
      <c r="P23" s="4">
        <f>IF(COUNTA(J23:O23)=0,"",SUM(J23:O23))</f>
        <v/>
      </c>
      <c r="Q23" s="4">
        <f>IF(OR(F23="",P23=""),"",F23+P23)</f>
        <v/>
      </c>
      <c r="R23" s="4" t="n"/>
      <c r="S23" s="5" t="n"/>
    </row>
    <row r="24">
      <c r="A24" s="4" t="n">
        <v>20</v>
      </c>
      <c r="B24" s="5" t="n"/>
      <c r="C24" s="4" t="n">
        <v>4</v>
      </c>
      <c r="D24" s="4" t="n"/>
      <c r="E24" s="4">
        <f>IF(D24="","",D24/5*100)</f>
        <v/>
      </c>
      <c r="F24" s="4" t="n"/>
      <c r="G24" s="4">
        <f>IF(F24="","",F24/10*100)</f>
        <v/>
      </c>
      <c r="H24" s="4">
        <f>IF(G24="","",IF(G24&gt;=70,"ผ่าน","ไม่ผ่าน"))</f>
        <v/>
      </c>
      <c r="I24" s="4">
        <f>IF(OR(E24="",G24=""),"",G24-E24)</f>
        <v/>
      </c>
      <c r="J24" s="4" t="n"/>
      <c r="K24" s="4" t="n"/>
      <c r="L24" s="4" t="n"/>
      <c r="M24" s="4" t="n"/>
      <c r="N24" s="4" t="n"/>
      <c r="O24" s="4" t="n"/>
      <c r="P24" s="4">
        <f>IF(COUNTA(J24:O24)=0,"",SUM(J24:O24))</f>
        <v/>
      </c>
      <c r="Q24" s="4">
        <f>IF(OR(F24="",P24=""),"",F24+P24)</f>
        <v/>
      </c>
      <c r="R24" s="4" t="n"/>
      <c r="S24" s="5" t="n"/>
    </row>
    <row r="25">
      <c r="A25" s="4" t="n">
        <v>21</v>
      </c>
      <c r="B25" s="5" t="n"/>
      <c r="C25" s="4" t="n">
        <v>5</v>
      </c>
      <c r="D25" s="4" t="n"/>
      <c r="E25" s="4">
        <f>IF(D25="","",D25/5*100)</f>
        <v/>
      </c>
      <c r="F25" s="4" t="n"/>
      <c r="G25" s="4">
        <f>IF(F25="","",F25/10*100)</f>
        <v/>
      </c>
      <c r="H25" s="4">
        <f>IF(G25="","",IF(G25&gt;=70,"ผ่าน","ไม่ผ่าน"))</f>
        <v/>
      </c>
      <c r="I25" s="4">
        <f>IF(OR(E25="",G25=""),"",G25-E25)</f>
        <v/>
      </c>
      <c r="J25" s="4" t="n"/>
      <c r="K25" s="4" t="n"/>
      <c r="L25" s="4" t="n"/>
      <c r="M25" s="4" t="n"/>
      <c r="N25" s="4" t="n"/>
      <c r="O25" s="4" t="n"/>
      <c r="P25" s="4">
        <f>IF(COUNTA(J25:O25)=0,"",SUM(J25:O25))</f>
        <v/>
      </c>
      <c r="Q25" s="4">
        <f>IF(OR(F25="",P25=""),"",F25+P25)</f>
        <v/>
      </c>
      <c r="R25" s="4" t="n"/>
      <c r="S25" s="5" t="n"/>
    </row>
    <row r="26">
      <c r="A26" s="4" t="n">
        <v>22</v>
      </c>
      <c r="B26" s="5" t="n"/>
      <c r="C26" s="4" t="n">
        <v>5</v>
      </c>
      <c r="D26" s="4" t="n"/>
      <c r="E26" s="4">
        <f>IF(D26="","",D26/5*100)</f>
        <v/>
      </c>
      <c r="F26" s="4" t="n"/>
      <c r="G26" s="4">
        <f>IF(F26="","",F26/10*100)</f>
        <v/>
      </c>
      <c r="H26" s="4">
        <f>IF(G26="","",IF(G26&gt;=70,"ผ่าน","ไม่ผ่าน"))</f>
        <v/>
      </c>
      <c r="I26" s="4">
        <f>IF(OR(E26="",G26=""),"",G26-E26)</f>
        <v/>
      </c>
      <c r="J26" s="4" t="n"/>
      <c r="K26" s="4" t="n"/>
      <c r="L26" s="4" t="n"/>
      <c r="M26" s="4" t="n"/>
      <c r="N26" s="4" t="n"/>
      <c r="O26" s="4" t="n"/>
      <c r="P26" s="4">
        <f>IF(COUNTA(J26:O26)=0,"",SUM(J26:O26))</f>
        <v/>
      </c>
      <c r="Q26" s="4">
        <f>IF(OR(F26="",P26=""),"",F26+P26)</f>
        <v/>
      </c>
      <c r="R26" s="4" t="n"/>
      <c r="S26" s="5" t="n"/>
    </row>
    <row r="27">
      <c r="A27" s="4" t="n">
        <v>23</v>
      </c>
      <c r="B27" s="5" t="n"/>
      <c r="C27" s="4" t="n">
        <v>5</v>
      </c>
      <c r="D27" s="4" t="n"/>
      <c r="E27" s="4">
        <f>IF(D27="","",D27/5*100)</f>
        <v/>
      </c>
      <c r="F27" s="4" t="n"/>
      <c r="G27" s="4">
        <f>IF(F27="","",F27/10*100)</f>
        <v/>
      </c>
      <c r="H27" s="4">
        <f>IF(G27="","",IF(G27&gt;=70,"ผ่าน","ไม่ผ่าน"))</f>
        <v/>
      </c>
      <c r="I27" s="4">
        <f>IF(OR(E27="",G27=""),"",G27-E27)</f>
        <v/>
      </c>
      <c r="J27" s="4" t="n"/>
      <c r="K27" s="4" t="n"/>
      <c r="L27" s="4" t="n"/>
      <c r="M27" s="4" t="n"/>
      <c r="N27" s="4" t="n"/>
      <c r="O27" s="4" t="n"/>
      <c r="P27" s="4">
        <f>IF(COUNTA(J27:O27)=0,"",SUM(J27:O27))</f>
        <v/>
      </c>
      <c r="Q27" s="4">
        <f>IF(OR(F27="",P27=""),"",F27+P27)</f>
        <v/>
      </c>
      <c r="R27" s="4" t="n"/>
      <c r="S27" s="5" t="n"/>
    </row>
    <row r="28">
      <c r="A28" s="4" t="n">
        <v>24</v>
      </c>
      <c r="B28" s="5" t="n"/>
      <c r="C28" s="4" t="n">
        <v>5</v>
      </c>
      <c r="D28" s="4" t="n"/>
      <c r="E28" s="4">
        <f>IF(D28="","",D28/5*100)</f>
        <v/>
      </c>
      <c r="F28" s="4" t="n"/>
      <c r="G28" s="4">
        <f>IF(F28="","",F28/10*100)</f>
        <v/>
      </c>
      <c r="H28" s="4">
        <f>IF(G28="","",IF(G28&gt;=70,"ผ่าน","ไม่ผ่าน"))</f>
        <v/>
      </c>
      <c r="I28" s="4">
        <f>IF(OR(E28="",G28=""),"",G28-E28)</f>
        <v/>
      </c>
      <c r="J28" s="4" t="n"/>
      <c r="K28" s="4" t="n"/>
      <c r="L28" s="4" t="n"/>
      <c r="M28" s="4" t="n"/>
      <c r="N28" s="4" t="n"/>
      <c r="O28" s="4" t="n"/>
      <c r="P28" s="4">
        <f>IF(COUNTA(J28:O28)=0,"",SUM(J28:O28))</f>
        <v/>
      </c>
      <c r="Q28" s="4">
        <f>IF(OR(F28="",P28=""),"",F28+P28)</f>
        <v/>
      </c>
      <c r="R28" s="4" t="n"/>
      <c r="S28" s="5" t="n"/>
    </row>
    <row r="29">
      <c r="A29" s="4" t="n">
        <v>25</v>
      </c>
      <c r="B29" s="5" t="n"/>
      <c r="C29" s="4" t="n">
        <v>5</v>
      </c>
      <c r="D29" s="4" t="n"/>
      <c r="E29" s="4">
        <f>IF(D29="","",D29/5*100)</f>
        <v/>
      </c>
      <c r="F29" s="4" t="n"/>
      <c r="G29" s="4">
        <f>IF(F29="","",F29/10*100)</f>
        <v/>
      </c>
      <c r="H29" s="4">
        <f>IF(G29="","",IF(G29&gt;=70,"ผ่าน","ไม่ผ่าน"))</f>
        <v/>
      </c>
      <c r="I29" s="4">
        <f>IF(OR(E29="",G29=""),"",G29-E29)</f>
        <v/>
      </c>
      <c r="J29" s="4" t="n"/>
      <c r="K29" s="4" t="n"/>
      <c r="L29" s="4" t="n"/>
      <c r="M29" s="4" t="n"/>
      <c r="N29" s="4" t="n"/>
      <c r="O29" s="4" t="n"/>
      <c r="P29" s="4">
        <f>IF(COUNTA(J29:O29)=0,"",SUM(J29:O29))</f>
        <v/>
      </c>
      <c r="Q29" s="4">
        <f>IF(OR(F29="",P29=""),"",F29+P29)</f>
        <v/>
      </c>
      <c r="R29" s="4" t="n"/>
      <c r="S29" s="5" t="n"/>
    </row>
    <row r="30">
      <c r="A30" s="4" t="n">
        <v>26</v>
      </c>
      <c r="B30" s="5" t="n"/>
      <c r="C30" s="4" t="n">
        <v>6</v>
      </c>
      <c r="D30" s="4" t="n"/>
      <c r="E30" s="4">
        <f>IF(D30="","",D30/5*100)</f>
        <v/>
      </c>
      <c r="F30" s="4" t="n"/>
      <c r="G30" s="4">
        <f>IF(F30="","",F30/10*100)</f>
        <v/>
      </c>
      <c r="H30" s="4">
        <f>IF(G30="","",IF(G30&gt;=70,"ผ่าน","ไม่ผ่าน"))</f>
        <v/>
      </c>
      <c r="I30" s="4">
        <f>IF(OR(E30="",G30=""),"",G30-E30)</f>
        <v/>
      </c>
      <c r="J30" s="4" t="n"/>
      <c r="K30" s="4" t="n"/>
      <c r="L30" s="4" t="n"/>
      <c r="M30" s="4" t="n"/>
      <c r="N30" s="4" t="n"/>
      <c r="O30" s="4" t="n"/>
      <c r="P30" s="4">
        <f>IF(COUNTA(J30:O30)=0,"",SUM(J30:O30))</f>
        <v/>
      </c>
      <c r="Q30" s="4">
        <f>IF(OR(F30="",P30=""),"",F30+P30)</f>
        <v/>
      </c>
      <c r="R30" s="4" t="n"/>
      <c r="S30" s="5" t="n"/>
    </row>
    <row r="31">
      <c r="A31" s="4" t="n">
        <v>27</v>
      </c>
      <c r="B31" s="5" t="n"/>
      <c r="C31" s="4" t="n">
        <v>6</v>
      </c>
      <c r="D31" s="4" t="n"/>
      <c r="E31" s="4">
        <f>IF(D31="","",D31/5*100)</f>
        <v/>
      </c>
      <c r="F31" s="4" t="n"/>
      <c r="G31" s="4">
        <f>IF(F31="","",F31/10*100)</f>
        <v/>
      </c>
      <c r="H31" s="4">
        <f>IF(G31="","",IF(G31&gt;=70,"ผ่าน","ไม่ผ่าน"))</f>
        <v/>
      </c>
      <c r="I31" s="4">
        <f>IF(OR(E31="",G31=""),"",G31-E31)</f>
        <v/>
      </c>
      <c r="J31" s="4" t="n"/>
      <c r="K31" s="4" t="n"/>
      <c r="L31" s="4" t="n"/>
      <c r="M31" s="4" t="n"/>
      <c r="N31" s="4" t="n"/>
      <c r="O31" s="4" t="n"/>
      <c r="P31" s="4">
        <f>IF(COUNTA(J31:O31)=0,"",SUM(J31:O31))</f>
        <v/>
      </c>
      <c r="Q31" s="4">
        <f>IF(OR(F31="",P31=""),"",F31+P31)</f>
        <v/>
      </c>
      <c r="R31" s="4" t="n"/>
      <c r="S31" s="5" t="n"/>
    </row>
    <row r="32">
      <c r="A32" s="4" t="n">
        <v>28</v>
      </c>
      <c r="B32" s="5" t="n"/>
      <c r="C32" s="4" t="n">
        <v>6</v>
      </c>
      <c r="D32" s="4" t="n"/>
      <c r="E32" s="4">
        <f>IF(D32="","",D32/5*100)</f>
        <v/>
      </c>
      <c r="F32" s="4" t="n"/>
      <c r="G32" s="4">
        <f>IF(F32="","",F32/10*100)</f>
        <v/>
      </c>
      <c r="H32" s="4">
        <f>IF(G32="","",IF(G32&gt;=70,"ผ่าน","ไม่ผ่าน"))</f>
        <v/>
      </c>
      <c r="I32" s="4">
        <f>IF(OR(E32="",G32=""),"",G32-E32)</f>
        <v/>
      </c>
      <c r="J32" s="4" t="n"/>
      <c r="K32" s="4" t="n"/>
      <c r="L32" s="4" t="n"/>
      <c r="M32" s="4" t="n"/>
      <c r="N32" s="4" t="n"/>
      <c r="O32" s="4" t="n"/>
      <c r="P32" s="4">
        <f>IF(COUNTA(J32:O32)=0,"",SUM(J32:O32))</f>
        <v/>
      </c>
      <c r="Q32" s="4">
        <f>IF(OR(F32="",P32=""),"",F32+P32)</f>
        <v/>
      </c>
      <c r="R32" s="4" t="n"/>
      <c r="S32" s="5" t="n"/>
    </row>
    <row r="33">
      <c r="A33" s="4" t="n">
        <v>29</v>
      </c>
      <c r="B33" s="5" t="n"/>
      <c r="C33" s="4" t="n">
        <v>6</v>
      </c>
      <c r="D33" s="4" t="n"/>
      <c r="E33" s="4">
        <f>IF(D33="","",D33/5*100)</f>
        <v/>
      </c>
      <c r="F33" s="4" t="n"/>
      <c r="G33" s="4">
        <f>IF(F33="","",F33/10*100)</f>
        <v/>
      </c>
      <c r="H33" s="4">
        <f>IF(G33="","",IF(G33&gt;=70,"ผ่าน","ไม่ผ่าน"))</f>
        <v/>
      </c>
      <c r="I33" s="4">
        <f>IF(OR(E33="",G33=""),"",G33-E33)</f>
        <v/>
      </c>
      <c r="J33" s="4" t="n"/>
      <c r="K33" s="4" t="n"/>
      <c r="L33" s="4" t="n"/>
      <c r="M33" s="4" t="n"/>
      <c r="N33" s="4" t="n"/>
      <c r="O33" s="4" t="n"/>
      <c r="P33" s="4">
        <f>IF(COUNTA(J33:O33)=0,"",SUM(J33:O33))</f>
        <v/>
      </c>
      <c r="Q33" s="4">
        <f>IF(OR(F33="",P33=""),"",F33+P33)</f>
        <v/>
      </c>
      <c r="R33" s="4" t="n"/>
      <c r="S33" s="5" t="n"/>
    </row>
    <row r="34">
      <c r="A34" s="4" t="n">
        <v>30</v>
      </c>
      <c r="B34" s="5" t="n"/>
      <c r="C34" s="4" t="n">
        <v>6</v>
      </c>
      <c r="D34" s="4" t="n"/>
      <c r="E34" s="4">
        <f>IF(D34="","",D34/5*100)</f>
        <v/>
      </c>
      <c r="F34" s="4" t="n"/>
      <c r="G34" s="4">
        <f>IF(F34="","",F34/10*100)</f>
        <v/>
      </c>
      <c r="H34" s="4">
        <f>IF(G34="","",IF(G34&gt;=70,"ผ่าน","ไม่ผ่าน"))</f>
        <v/>
      </c>
      <c r="I34" s="4">
        <f>IF(OR(E34="",G34=""),"",G34-E34)</f>
        <v/>
      </c>
      <c r="J34" s="4" t="n"/>
      <c r="K34" s="4" t="n"/>
      <c r="L34" s="4" t="n"/>
      <c r="M34" s="4" t="n"/>
      <c r="N34" s="4" t="n"/>
      <c r="O34" s="4" t="n"/>
      <c r="P34" s="4">
        <f>IF(COUNTA(J34:O34)=0,"",SUM(J34:O34))</f>
        <v/>
      </c>
      <c r="Q34" s="4">
        <f>IF(OR(F34="",P34=""),"",F34+P34)</f>
        <v/>
      </c>
      <c r="R34" s="4" t="n"/>
      <c r="S34" s="5" t="n"/>
    </row>
    <row r="35">
      <c r="A35" s="4" t="n">
        <v>31</v>
      </c>
      <c r="B35" s="5" t="n"/>
      <c r="C35" s="4" t="n">
        <v>7</v>
      </c>
      <c r="D35" s="4" t="n"/>
      <c r="E35" s="4">
        <f>IF(D35="","",D35/5*100)</f>
        <v/>
      </c>
      <c r="F35" s="4" t="n"/>
      <c r="G35" s="4">
        <f>IF(F35="","",F35/10*100)</f>
        <v/>
      </c>
      <c r="H35" s="4">
        <f>IF(G35="","",IF(G35&gt;=70,"ผ่าน","ไม่ผ่าน"))</f>
        <v/>
      </c>
      <c r="I35" s="4">
        <f>IF(OR(E35="",G35=""),"",G35-E35)</f>
        <v/>
      </c>
      <c r="J35" s="4" t="n"/>
      <c r="K35" s="4" t="n"/>
      <c r="L35" s="4" t="n"/>
      <c r="M35" s="4" t="n"/>
      <c r="N35" s="4" t="n"/>
      <c r="O35" s="4" t="n"/>
      <c r="P35" s="4">
        <f>IF(COUNTA(J35:O35)=0,"",SUM(J35:O35))</f>
        <v/>
      </c>
      <c r="Q35" s="4">
        <f>IF(OR(F35="",P35=""),"",F35+P35)</f>
        <v/>
      </c>
      <c r="R35" s="4" t="n"/>
      <c r="S35" s="5" t="n"/>
    </row>
    <row r="36">
      <c r="A36" s="4" t="n">
        <v>32</v>
      </c>
      <c r="B36" s="5" t="n"/>
      <c r="C36" s="4" t="n">
        <v>7</v>
      </c>
      <c r="D36" s="4" t="n"/>
      <c r="E36" s="4">
        <f>IF(D36="","",D36/5*100)</f>
        <v/>
      </c>
      <c r="F36" s="4" t="n"/>
      <c r="G36" s="4">
        <f>IF(F36="","",F36/10*100)</f>
        <v/>
      </c>
      <c r="H36" s="4">
        <f>IF(G36="","",IF(G36&gt;=70,"ผ่าน","ไม่ผ่าน"))</f>
        <v/>
      </c>
      <c r="I36" s="4">
        <f>IF(OR(E36="",G36=""),"",G36-E36)</f>
        <v/>
      </c>
      <c r="J36" s="4" t="n"/>
      <c r="K36" s="4" t="n"/>
      <c r="L36" s="4" t="n"/>
      <c r="M36" s="4" t="n"/>
      <c r="N36" s="4" t="n"/>
      <c r="O36" s="4" t="n"/>
      <c r="P36" s="4">
        <f>IF(COUNTA(J36:O36)=0,"",SUM(J36:O36))</f>
        <v/>
      </c>
      <c r="Q36" s="4">
        <f>IF(OR(F36="",P36=""),"",F36+P36)</f>
        <v/>
      </c>
      <c r="R36" s="4" t="n"/>
      <c r="S36" s="5" t="n"/>
    </row>
    <row r="37">
      <c r="A37" s="4" t="n">
        <v>33</v>
      </c>
      <c r="B37" s="5" t="n"/>
      <c r="C37" s="4" t="n">
        <v>7</v>
      </c>
      <c r="D37" s="4" t="n"/>
      <c r="E37" s="4">
        <f>IF(D37="","",D37/5*100)</f>
        <v/>
      </c>
      <c r="F37" s="4" t="n"/>
      <c r="G37" s="4">
        <f>IF(F37="","",F37/10*100)</f>
        <v/>
      </c>
      <c r="H37" s="4">
        <f>IF(G37="","",IF(G37&gt;=70,"ผ่าน","ไม่ผ่าน"))</f>
        <v/>
      </c>
      <c r="I37" s="4">
        <f>IF(OR(E37="",G37=""),"",G37-E37)</f>
        <v/>
      </c>
      <c r="J37" s="4" t="n"/>
      <c r="K37" s="4" t="n"/>
      <c r="L37" s="4" t="n"/>
      <c r="M37" s="4" t="n"/>
      <c r="N37" s="4" t="n"/>
      <c r="O37" s="4" t="n"/>
      <c r="P37" s="4">
        <f>IF(COUNTA(J37:O37)=0,"",SUM(J37:O37))</f>
        <v/>
      </c>
      <c r="Q37" s="4">
        <f>IF(OR(F37="",P37=""),"",F37+P37)</f>
        <v/>
      </c>
      <c r="R37" s="4" t="n"/>
      <c r="S37" s="5" t="n"/>
    </row>
    <row r="38">
      <c r="A38" s="4" t="n">
        <v>34</v>
      </c>
      <c r="B38" s="5" t="n"/>
      <c r="C38" s="4" t="n">
        <v>7</v>
      </c>
      <c r="D38" s="4" t="n"/>
      <c r="E38" s="4">
        <f>IF(D38="","",D38/5*100)</f>
        <v/>
      </c>
      <c r="F38" s="4" t="n"/>
      <c r="G38" s="4">
        <f>IF(F38="","",F38/10*100)</f>
        <v/>
      </c>
      <c r="H38" s="4">
        <f>IF(G38="","",IF(G38&gt;=70,"ผ่าน","ไม่ผ่าน"))</f>
        <v/>
      </c>
      <c r="I38" s="4">
        <f>IF(OR(E38="",G38=""),"",G38-E38)</f>
        <v/>
      </c>
      <c r="J38" s="4" t="n"/>
      <c r="K38" s="4" t="n"/>
      <c r="L38" s="4" t="n"/>
      <c r="M38" s="4" t="n"/>
      <c r="N38" s="4" t="n"/>
      <c r="O38" s="4" t="n"/>
      <c r="P38" s="4">
        <f>IF(COUNTA(J38:O38)=0,"",SUM(J38:O38))</f>
        <v/>
      </c>
      <c r="Q38" s="4">
        <f>IF(OR(F38="",P38=""),"",F38+P38)</f>
        <v/>
      </c>
      <c r="R38" s="4" t="n"/>
      <c r="S38" s="5" t="n"/>
    </row>
    <row r="39">
      <c r="A39" s="4" t="n">
        <v>35</v>
      </c>
      <c r="B39" s="5" t="n"/>
      <c r="C39" s="4" t="n">
        <v>7</v>
      </c>
      <c r="D39" s="4" t="n"/>
      <c r="E39" s="4">
        <f>IF(D39="","",D39/5*100)</f>
        <v/>
      </c>
      <c r="F39" s="4" t="n"/>
      <c r="G39" s="4">
        <f>IF(F39="","",F39/10*100)</f>
        <v/>
      </c>
      <c r="H39" s="4">
        <f>IF(G39="","",IF(G39&gt;=70,"ผ่าน","ไม่ผ่าน"))</f>
        <v/>
      </c>
      <c r="I39" s="4">
        <f>IF(OR(E39="",G39=""),"",G39-E39)</f>
        <v/>
      </c>
      <c r="J39" s="4" t="n"/>
      <c r="K39" s="4" t="n"/>
      <c r="L39" s="4" t="n"/>
      <c r="M39" s="4" t="n"/>
      <c r="N39" s="4" t="n"/>
      <c r="O39" s="4" t="n"/>
      <c r="P39" s="4">
        <f>IF(COUNTA(J39:O39)=0,"",SUM(J39:O39))</f>
        <v/>
      </c>
      <c r="Q39" s="4">
        <f>IF(OR(F39="",P39=""),"",F39+P39)</f>
        <v/>
      </c>
      <c r="R39" s="4" t="n"/>
      <c r="S39" s="5" t="n"/>
    </row>
    <row r="40">
      <c r="A40" s="4" t="n">
        <v>36</v>
      </c>
      <c r="B40" s="5" t="n"/>
      <c r="C40" s="4" t="n">
        <v>8</v>
      </c>
      <c r="D40" s="4" t="n"/>
      <c r="E40" s="4">
        <f>IF(D40="","",D40/5*100)</f>
        <v/>
      </c>
      <c r="F40" s="4" t="n"/>
      <c r="G40" s="4">
        <f>IF(F40="","",F40/10*100)</f>
        <v/>
      </c>
      <c r="H40" s="4">
        <f>IF(G40="","",IF(G40&gt;=70,"ผ่าน","ไม่ผ่าน"))</f>
        <v/>
      </c>
      <c r="I40" s="4">
        <f>IF(OR(E40="",G40=""),"",G40-E40)</f>
        <v/>
      </c>
      <c r="J40" s="4" t="n"/>
      <c r="K40" s="4" t="n"/>
      <c r="L40" s="4" t="n"/>
      <c r="M40" s="4" t="n"/>
      <c r="N40" s="4" t="n"/>
      <c r="O40" s="4" t="n"/>
      <c r="P40" s="4">
        <f>IF(COUNTA(J40:O40)=0,"",SUM(J40:O40))</f>
        <v/>
      </c>
      <c r="Q40" s="4">
        <f>IF(OR(F40="",P40=""),"",F40+P40)</f>
        <v/>
      </c>
      <c r="R40" s="4" t="n"/>
      <c r="S40" s="5" t="n"/>
    </row>
    <row r="41">
      <c r="A41" s="4" t="n">
        <v>37</v>
      </c>
      <c r="B41" s="5" t="n"/>
      <c r="C41" s="4" t="n">
        <v>8</v>
      </c>
      <c r="D41" s="4" t="n"/>
      <c r="E41" s="4">
        <f>IF(D41="","",D41/5*100)</f>
        <v/>
      </c>
      <c r="F41" s="4" t="n"/>
      <c r="G41" s="4">
        <f>IF(F41="","",F41/10*100)</f>
        <v/>
      </c>
      <c r="H41" s="4">
        <f>IF(G41="","",IF(G41&gt;=70,"ผ่าน","ไม่ผ่าน"))</f>
        <v/>
      </c>
      <c r="I41" s="4">
        <f>IF(OR(E41="",G41=""),"",G41-E41)</f>
        <v/>
      </c>
      <c r="J41" s="4" t="n"/>
      <c r="K41" s="4" t="n"/>
      <c r="L41" s="4" t="n"/>
      <c r="M41" s="4" t="n"/>
      <c r="N41" s="4" t="n"/>
      <c r="O41" s="4" t="n"/>
      <c r="P41" s="4">
        <f>IF(COUNTA(J41:O41)=0,"",SUM(J41:O41))</f>
        <v/>
      </c>
      <c r="Q41" s="4">
        <f>IF(OR(F41="",P41=""),"",F41+P41)</f>
        <v/>
      </c>
      <c r="R41" s="4" t="n"/>
      <c r="S41" s="5" t="n"/>
    </row>
    <row r="42">
      <c r="A42" s="4" t="n">
        <v>38</v>
      </c>
      <c r="B42" s="5" t="n"/>
      <c r="C42" s="4" t="n">
        <v>8</v>
      </c>
      <c r="D42" s="4" t="n"/>
      <c r="E42" s="4">
        <f>IF(D42="","",D42/5*100)</f>
        <v/>
      </c>
      <c r="F42" s="4" t="n"/>
      <c r="G42" s="4">
        <f>IF(F42="","",F42/10*100)</f>
        <v/>
      </c>
      <c r="H42" s="4">
        <f>IF(G42="","",IF(G42&gt;=70,"ผ่าน","ไม่ผ่าน"))</f>
        <v/>
      </c>
      <c r="I42" s="4">
        <f>IF(OR(E42="",G42=""),"",G42-E42)</f>
        <v/>
      </c>
      <c r="J42" s="4" t="n"/>
      <c r="K42" s="4" t="n"/>
      <c r="L42" s="4" t="n"/>
      <c r="M42" s="4" t="n"/>
      <c r="N42" s="4" t="n"/>
      <c r="O42" s="4" t="n"/>
      <c r="P42" s="4">
        <f>IF(COUNTA(J42:O42)=0,"",SUM(J42:O42))</f>
        <v/>
      </c>
      <c r="Q42" s="4">
        <f>IF(OR(F42="",P42=""),"",F42+P42)</f>
        <v/>
      </c>
      <c r="R42" s="4" t="n"/>
      <c r="S42" s="5" t="n"/>
    </row>
    <row r="43">
      <c r="A43" s="4" t="n">
        <v>39</v>
      </c>
      <c r="B43" s="5" t="n"/>
      <c r="C43" s="4" t="n">
        <v>8</v>
      </c>
      <c r="D43" s="4" t="n"/>
      <c r="E43" s="4">
        <f>IF(D43="","",D43/5*100)</f>
        <v/>
      </c>
      <c r="F43" s="4" t="n"/>
      <c r="G43" s="4">
        <f>IF(F43="","",F43/10*100)</f>
        <v/>
      </c>
      <c r="H43" s="4">
        <f>IF(G43="","",IF(G43&gt;=70,"ผ่าน","ไม่ผ่าน"))</f>
        <v/>
      </c>
      <c r="I43" s="4">
        <f>IF(OR(E43="",G43=""),"",G43-E43)</f>
        <v/>
      </c>
      <c r="J43" s="4" t="n"/>
      <c r="K43" s="4" t="n"/>
      <c r="L43" s="4" t="n"/>
      <c r="M43" s="4" t="n"/>
      <c r="N43" s="4" t="n"/>
      <c r="O43" s="4" t="n"/>
      <c r="P43" s="4">
        <f>IF(COUNTA(J43:O43)=0,"",SUM(J43:O43))</f>
        <v/>
      </c>
      <c r="Q43" s="4">
        <f>IF(OR(F43="",P43=""),"",F43+P43)</f>
        <v/>
      </c>
      <c r="R43" s="4" t="n"/>
      <c r="S43" s="5" t="n"/>
    </row>
    <row r="44">
      <c r="A44" s="4" t="n">
        <v>40</v>
      </c>
      <c r="B44" s="5" t="n"/>
      <c r="C44" s="4" t="n">
        <v>8</v>
      </c>
      <c r="D44" s="4" t="n"/>
      <c r="E44" s="4">
        <f>IF(D44="","",D44/5*100)</f>
        <v/>
      </c>
      <c r="F44" s="4" t="n"/>
      <c r="G44" s="4">
        <f>IF(F44="","",F44/10*100)</f>
        <v/>
      </c>
      <c r="H44" s="4">
        <f>IF(G44="","",IF(G44&gt;=70,"ผ่าน","ไม่ผ่าน"))</f>
        <v/>
      </c>
      <c r="I44" s="4">
        <f>IF(OR(E44="",G44=""),"",G44-E44)</f>
        <v/>
      </c>
      <c r="J44" s="4" t="n"/>
      <c r="K44" s="4" t="n"/>
      <c r="L44" s="4" t="n"/>
      <c r="M44" s="4" t="n"/>
      <c r="N44" s="4" t="n"/>
      <c r="O44" s="4" t="n"/>
      <c r="P44" s="4">
        <f>IF(COUNTA(J44:O44)=0,"",SUM(J44:O44))</f>
        <v/>
      </c>
      <c r="Q44" s="4">
        <f>IF(OR(F44="",P44=""),"",F44+P44)</f>
        <v/>
      </c>
      <c r="R44" s="4" t="n"/>
      <c r="S44" s="5" t="n"/>
    </row>
  </sheetData>
  <mergeCells count="2">
    <mergeCell ref="A2:S2"/>
    <mergeCell ref="A1:S1"/>
  </mergeCells>
  <conditionalFormatting sqref="H5:H44">
    <cfRule type="cellIs" priority="1" operator="equal" dxfId="0">
      <formula>"ผ่าน"</formula>
    </cfRule>
    <cfRule type="cellIs" priority="2" operator="equal" dxfId="1">
      <formula>"ไม่ผ่าน"</formula>
    </cfRule>
  </conditionalFormatting>
  <conditionalFormatting sqref="I5:I44">
    <cfRule type="colorScale" priority="3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Q5:Q44">
    <cfRule type="dataBar" priority="4">
      <dataBar>
        <cfvo type="num" val="0"/>
        <cfvo type="num" val="100"/>
        <color rgb="005B9BD5"/>
      </dataBar>
    </cfRule>
  </conditionalFormatting>
  <dataValidations count="9">
    <dataValidation sqref="D5:D44" showDropDown="0" showInputMessage="0" showErrorMessage="0" allowBlank="1" type="decimal" operator="between">
      <formula1>0</formula1>
      <formula2>5</formula2>
    </dataValidation>
    <dataValidation sqref="F5:F44" showDropDown="0" showInputMessage="0" showErrorMessage="0" allowBlank="1" type="decimal" operator="between">
      <formula1>0</formula1>
      <formula2>10</formula2>
    </dataValidation>
    <dataValidation sqref="J5:J44" showDropDown="0" showInputMessage="0" showErrorMessage="0" allowBlank="1" type="decimal" operator="between">
      <formula1>0</formula1>
      <formula2>15</formula2>
    </dataValidation>
    <dataValidation sqref="K5:K44" showDropDown="0" showInputMessage="0" showErrorMessage="0" allowBlank="1" type="decimal" operator="between">
      <formula1>0</formula1>
      <formula2>15</formula2>
    </dataValidation>
    <dataValidation sqref="L5:L44" showDropDown="0" showInputMessage="0" showErrorMessage="0" allowBlank="1" type="decimal" operator="between">
      <formula1>0</formula1>
      <formula2>20</formula2>
    </dataValidation>
    <dataValidation sqref="M5:M44" showDropDown="0" showInputMessage="0" showErrorMessage="0" allowBlank="1" type="decimal" operator="between">
      <formula1>0</formula1>
      <formula2>15</formula2>
    </dataValidation>
    <dataValidation sqref="N5:N44" showDropDown="0" showInputMessage="0" showErrorMessage="0" allowBlank="1" type="decimal" operator="between">
      <formula1>0</formula1>
      <formula2>20</formula2>
    </dataValidation>
    <dataValidation sqref="O5:O44" showDropDown="0" showInputMessage="0" showErrorMessage="0" allowBlank="1" type="decimal" operator="between">
      <formula1>0</formula1>
      <formula2>5</formula2>
    </dataValidation>
    <dataValidation sqref="R5:R44" showDropDown="0" showInputMessage="0" showErrorMessage="0" allowBlank="1" type="decimal" operator="between">
      <formula1>0</formula1>
      <formula2>1000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6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Dashboard สรุปผลการเรียนรู้ AI to ESP32</t>
        </is>
      </c>
    </row>
    <row r="2">
      <c r="A2" s="2" t="inlineStr">
        <is>
          <t>ว31101 ม.4/5 | นายศิวัสว์ โตนอก | เกณฑ์ Post-test ผ่าน 70%</t>
        </is>
      </c>
    </row>
    <row r="4">
      <c r="A4" s="3" t="inlineStr">
        <is>
          <t>นักเรียนที่กรอกชื่อ</t>
        </is>
      </c>
      <c r="B4" s="3" t="inlineStr">
        <is>
          <t>ผ่าน Post-test</t>
        </is>
      </c>
      <c r="C4" s="3" t="inlineStr">
        <is>
          <t>ไม่ผ่าน</t>
        </is>
      </c>
      <c r="D4" s="3" t="inlineStr">
        <is>
          <t>Pre เฉลี่ย %</t>
        </is>
      </c>
      <c r="E4" s="3" t="inlineStr">
        <is>
          <t>Post เฉลี่ย %</t>
        </is>
      </c>
      <c r="F4" s="3" t="inlineStr">
        <is>
          <t>พัฒนาการเฉลี่ย</t>
        </is>
      </c>
      <c r="G4" s="3" t="inlineStr">
        <is>
          <t>เกณฑ์เป้าหมายสำหรับ วPA</t>
        </is>
      </c>
    </row>
    <row r="5">
      <c r="A5" s="7">
        <f>COUNTIF(คะแนนรายบุคคล!B5:B44,"&lt;&gt;")</f>
        <v/>
      </c>
      <c r="B5" s="7">
        <f>COUNTIF(คะแนนรายบุคคล!H5:H44,"ผ่าน")</f>
        <v/>
      </c>
      <c r="C5" s="7">
        <f>COUNTIF(คะแนนรายบุคคล!H5:H44,"ไม่ผ่าน")</f>
        <v/>
      </c>
      <c r="D5" s="7">
        <f>IFERROR(AVERAGE(คะแนนรายบุคคล!E5:E44),0)</f>
        <v/>
      </c>
      <c r="E5" s="7">
        <f>IFERROR(AVERAGE(คะแนนรายบุคคล!G5:G44),0)</f>
        <v/>
      </c>
      <c r="F5" s="7">
        <f>IFERROR(AVERAGE(คะแนนรายบุคคล!I5:I44),0)</f>
        <v/>
      </c>
      <c r="G5" s="8" t="inlineStr">
        <is>
          <t>• นักเรียนอย่างน้อย 32/40 คน ผ่าน Post-test ≥70%
• นักเรียนอย่างน้อย 30/40 คน มีผลการปฏิบัติระดับดีขึ้นไป
• ผลงานจริง 90 คะแนน + AR Post-test 10 คะแนน
• เก็บ Challenge Before/After Feedback เป็นหลักฐานพัฒนาการ</t>
        </is>
      </c>
    </row>
    <row r="6"/>
    <row r="7"/>
    <row r="8">
      <c r="A8" s="3" t="inlineStr">
        <is>
          <t>กลุ่ม</t>
        </is>
      </c>
      <c r="B8" s="3" t="inlineStr">
        <is>
          <t>จำนวนนักเรียน</t>
        </is>
      </c>
      <c r="C8" s="3" t="inlineStr">
        <is>
          <t>ผ่าน</t>
        </is>
      </c>
      <c r="D8" s="3" t="inlineStr">
        <is>
          <t>Post เฉลี่ย %</t>
        </is>
      </c>
      <c r="E8" s="3" t="inlineStr">
        <is>
          <t>คะแนนรวมเฉลี่ย /100</t>
        </is>
      </c>
    </row>
    <row r="9">
      <c r="A9" s="4" t="n">
        <v>1</v>
      </c>
      <c r="B9" s="4">
        <f>COUNTIFS(คะแนนรายบุคคล!C5:C44,A9,คะแนนรายบุคคล!B5:B44,"&lt;&gt;")</f>
        <v/>
      </c>
      <c r="C9" s="4">
        <f>COUNTIFS(คะแนนรายบุคคล!C5:C44,A9,คะแนนรายบุคคล!H5:H44,"ผ่าน")</f>
        <v/>
      </c>
      <c r="D9" s="4">
        <f>IFERROR(AVERAGEIFS(คะแนนรายบุคคล!G5:G44,คะแนนรายบุคคล!C5:C44,A9),0)</f>
        <v/>
      </c>
      <c r="E9" s="4">
        <f>IFERROR(AVERAGEIFS(คะแนนรายบุคคล!Q5:Q44,คะแนนรายบุคคล!C5:C44,A9),0)</f>
        <v/>
      </c>
    </row>
    <row r="10">
      <c r="A10" s="4" t="n">
        <v>2</v>
      </c>
      <c r="B10" s="4">
        <f>COUNTIFS(คะแนนรายบุคคล!C5:C44,A10,คะแนนรายบุคคล!B5:B44,"&lt;&gt;")</f>
        <v/>
      </c>
      <c r="C10" s="4">
        <f>COUNTIFS(คะแนนรายบุคคล!C5:C44,A10,คะแนนรายบุคคล!H5:H44,"ผ่าน")</f>
        <v/>
      </c>
      <c r="D10" s="4">
        <f>IFERROR(AVERAGEIFS(คะแนนรายบุคคล!G5:G44,คะแนนรายบุคคล!C5:C44,A10),0)</f>
        <v/>
      </c>
      <c r="E10" s="4">
        <f>IFERROR(AVERAGEIFS(คะแนนรายบุคคล!Q5:Q44,คะแนนรายบุคคล!C5:C44,A10),0)</f>
        <v/>
      </c>
    </row>
    <row r="11">
      <c r="A11" s="4" t="n">
        <v>3</v>
      </c>
      <c r="B11" s="4">
        <f>COUNTIFS(คะแนนรายบุคคล!C5:C44,A11,คะแนนรายบุคคล!B5:B44,"&lt;&gt;")</f>
        <v/>
      </c>
      <c r="C11" s="4">
        <f>COUNTIFS(คะแนนรายบุคคล!C5:C44,A11,คะแนนรายบุคคล!H5:H44,"ผ่าน")</f>
        <v/>
      </c>
      <c r="D11" s="4">
        <f>IFERROR(AVERAGEIFS(คะแนนรายบุคคล!G5:G44,คะแนนรายบุคคล!C5:C44,A11),0)</f>
        <v/>
      </c>
      <c r="E11" s="4">
        <f>IFERROR(AVERAGEIFS(คะแนนรายบุคคล!Q5:Q44,คะแนนรายบุคคล!C5:C44,A11),0)</f>
        <v/>
      </c>
    </row>
    <row r="12">
      <c r="A12" s="4" t="n">
        <v>4</v>
      </c>
      <c r="B12" s="4">
        <f>COUNTIFS(คะแนนรายบุคคล!C5:C44,A12,คะแนนรายบุคคล!B5:B44,"&lt;&gt;")</f>
        <v/>
      </c>
      <c r="C12" s="4">
        <f>COUNTIFS(คะแนนรายบุคคล!C5:C44,A12,คะแนนรายบุคคล!H5:H44,"ผ่าน")</f>
        <v/>
      </c>
      <c r="D12" s="4">
        <f>IFERROR(AVERAGEIFS(คะแนนรายบุคคล!G5:G44,คะแนนรายบุคคล!C5:C44,A12),0)</f>
        <v/>
      </c>
      <c r="E12" s="4">
        <f>IFERROR(AVERAGEIFS(คะแนนรายบุคคล!Q5:Q44,คะแนนรายบุคคล!C5:C44,A12),0)</f>
        <v/>
      </c>
    </row>
    <row r="13">
      <c r="A13" s="4" t="n">
        <v>5</v>
      </c>
      <c r="B13" s="4">
        <f>COUNTIFS(คะแนนรายบุคคล!C5:C44,A13,คะแนนรายบุคคล!B5:B44,"&lt;&gt;")</f>
        <v/>
      </c>
      <c r="C13" s="4">
        <f>COUNTIFS(คะแนนรายบุคคล!C5:C44,A13,คะแนนรายบุคคล!H5:H44,"ผ่าน")</f>
        <v/>
      </c>
      <c r="D13" s="4">
        <f>IFERROR(AVERAGEIFS(คะแนนรายบุคคล!G5:G44,คะแนนรายบุคคล!C5:C44,A13),0)</f>
        <v/>
      </c>
      <c r="E13" s="4">
        <f>IFERROR(AVERAGEIFS(คะแนนรายบุคคล!Q5:Q44,คะแนนรายบุคคล!C5:C44,A13),0)</f>
        <v/>
      </c>
    </row>
    <row r="14">
      <c r="A14" s="4" t="n">
        <v>6</v>
      </c>
      <c r="B14" s="4">
        <f>COUNTIFS(คะแนนรายบุคคล!C5:C44,A14,คะแนนรายบุคคล!B5:B44,"&lt;&gt;")</f>
        <v/>
      </c>
      <c r="C14" s="4">
        <f>COUNTIFS(คะแนนรายบุคคล!C5:C44,A14,คะแนนรายบุคคล!H5:H44,"ผ่าน")</f>
        <v/>
      </c>
      <c r="D14" s="4">
        <f>IFERROR(AVERAGEIFS(คะแนนรายบุคคล!G5:G44,คะแนนรายบุคคล!C5:C44,A14),0)</f>
        <v/>
      </c>
      <c r="E14" s="4">
        <f>IFERROR(AVERAGEIFS(คะแนนรายบุคคล!Q5:Q44,คะแนนรายบุคคล!C5:C44,A14),0)</f>
        <v/>
      </c>
    </row>
    <row r="15">
      <c r="A15" s="4" t="n">
        <v>7</v>
      </c>
      <c r="B15" s="4">
        <f>COUNTIFS(คะแนนรายบุคคล!C5:C44,A15,คะแนนรายบุคคล!B5:B44,"&lt;&gt;")</f>
        <v/>
      </c>
      <c r="C15" s="4">
        <f>COUNTIFS(คะแนนรายบุคคล!C5:C44,A15,คะแนนรายบุคคล!H5:H44,"ผ่าน")</f>
        <v/>
      </c>
      <c r="D15" s="4">
        <f>IFERROR(AVERAGEIFS(คะแนนรายบุคคล!G5:G44,คะแนนรายบุคคล!C5:C44,A15),0)</f>
        <v/>
      </c>
      <c r="E15" s="4">
        <f>IFERROR(AVERAGEIFS(คะแนนรายบุคคล!Q5:Q44,คะแนนรายบุคคล!C5:C44,A15),0)</f>
        <v/>
      </c>
    </row>
    <row r="16">
      <c r="A16" s="4" t="n">
        <v>8</v>
      </c>
      <c r="B16" s="4">
        <f>COUNTIFS(คะแนนรายบุคคล!C5:C44,A16,คะแนนรายบุคคล!B5:B44,"&lt;&gt;")</f>
        <v/>
      </c>
      <c r="C16" s="4">
        <f>COUNTIFS(คะแนนรายบุคคล!C5:C44,A16,คะแนนรายบุคคล!H5:H44,"ผ่าน")</f>
        <v/>
      </c>
      <c r="D16" s="4">
        <f>IFERROR(AVERAGEIFS(คะแนนรายบุคคล!G5:G44,คะแนนรายบุคคล!C5:C44,A16),0)</f>
        <v/>
      </c>
      <c r="E16" s="4">
        <f>IFERROR(AVERAGEIFS(คะแนนรายบุคคล!Q5:Q44,คะแนนรายบุคคล!C5:C44,A16),0)</f>
        <v/>
      </c>
    </row>
  </sheetData>
  <mergeCells count="4">
    <mergeCell ref="A1:J1"/>
    <mergeCell ref="G4:J4"/>
    <mergeCell ref="G5:J9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2" customWidth="1" min="4" max="4"/>
  </cols>
  <sheetData>
    <row r="1">
      <c r="A1" s="9" t="inlineStr">
        <is>
          <t>เกณฑ์คะแนนรวม 100 คะแนน</t>
        </is>
      </c>
    </row>
    <row r="3">
      <c r="A3" s="3" t="inlineStr">
        <is>
          <t>องค์ประกอบ</t>
        </is>
      </c>
      <c r="B3" s="3" t="inlineStr">
        <is>
          <t>คะแนนเต็ม</t>
        </is>
      </c>
      <c r="C3" s="3" t="inlineStr">
        <is>
          <t>เกณฑ์ผ่าน/ระดับดี</t>
        </is>
      </c>
      <c r="D3" s="3" t="inlineStr">
        <is>
          <t>หลักฐาน</t>
        </is>
      </c>
    </row>
    <row r="4">
      <c r="A4" s="5" t="inlineStr">
        <is>
          <t>AR Post-test</t>
        </is>
      </c>
      <c r="B4" s="4" t="n">
        <v>10</v>
      </c>
      <c r="C4" s="5" t="inlineStr">
        <is>
          <t>อย่างน้อย 7/10</t>
        </is>
      </c>
      <c r="D4" s="5" t="inlineStr">
        <is>
          <t>ผลเกม AR รายบุคคล</t>
        </is>
      </c>
    </row>
    <row r="5">
      <c r="A5" s="5" t="inlineStr">
        <is>
          <t>AI Station</t>
        </is>
      </c>
      <c r="B5" s="4" t="n">
        <v>15</v>
      </c>
      <c r="C5" s="5" t="inlineStr">
        <is>
          <t>10/15 ขึ้นไป</t>
        </is>
      </c>
      <c r="D5" s="5" t="inlineStr">
        <is>
          <t>การสาธิต Hand/No Hand + คำอธิบาย</t>
        </is>
      </c>
    </row>
    <row r="6">
      <c r="A6" s="5" t="inlineStr">
        <is>
          <t>ESP32 Station</t>
        </is>
      </c>
      <c r="B6" s="4" t="n">
        <v>15</v>
      </c>
      <c r="C6" s="5" t="inlineStr">
        <is>
          <t>10/15 ขึ้นไป</t>
        </is>
      </c>
      <c r="D6" s="5" t="inlineStr">
        <is>
          <t>/on /off + Web Server/Route/GPIO</t>
        </is>
      </c>
    </row>
    <row r="7">
      <c r="A7" s="5" t="inlineStr">
        <is>
          <t>Integration Station</t>
        </is>
      </c>
      <c r="B7" s="4" t="n">
        <v>20</v>
      </c>
      <c r="C7" s="5" t="inlineStr">
        <is>
          <t>13/20 ขึ้นไป</t>
        </is>
      </c>
      <c r="D7" s="5" t="inlineStr">
        <is>
          <t>ระบบ Hand → AI → HTTP → ESP32 → LED</t>
        </is>
      </c>
    </row>
    <row r="8">
      <c r="A8" s="5" t="inlineStr">
        <is>
          <t>System Flow Diagram</t>
        </is>
      </c>
      <c r="B8" s="4" t="n">
        <v>15</v>
      </c>
      <c r="C8" s="5" t="inlineStr">
        <is>
          <t>11/15 ขึ้นไป</t>
        </is>
      </c>
      <c r="D8" s="5" t="inlineStr">
        <is>
          <t>แผนภาพ Data Flow</t>
        </is>
      </c>
    </row>
    <row r="9">
      <c r="A9" s="5" t="inlineStr">
        <is>
          <t>Challenge Debugging</t>
        </is>
      </c>
      <c r="B9" s="4" t="n">
        <v>20</v>
      </c>
      <c r="C9" s="5" t="inlineStr">
        <is>
          <t>14/20 ขึ้นไป</t>
        </is>
      </c>
      <c r="D9" s="5" t="inlineStr">
        <is>
          <t>Diagnosis + Evidence + Test + Solution</t>
        </is>
      </c>
    </row>
    <row r="10">
      <c r="A10" s="5" t="inlineStr">
        <is>
          <t>Collaborative Explanation</t>
        </is>
      </c>
      <c r="B10" s="4" t="n">
        <v>5</v>
      </c>
      <c r="C10" s="5" t="inlineStr">
        <is>
          <t>3/5 ขึ้นไป</t>
        </is>
      </c>
      <c r="D10" s="5" t="inlineStr">
        <is>
          <t>สุ่มถามสมาชิก/Peer Teaching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8" customWidth="1" min="3" max="3"/>
    <col width="8" customWidth="1" min="4" max="4"/>
    <col width="11" customWidth="1" min="5" max="5"/>
    <col width="12" customWidth="1" min="6" max="6"/>
    <col width="11" customWidth="1" min="7" max="7"/>
    <col width="12" customWidth="1" min="8" max="8"/>
    <col width="12" customWidth="1" min="9" max="9"/>
    <col width="20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>
      <c r="A1" s="10" t="inlineStr">
        <is>
          <t>พื้นที่นำเข้าผลจากเกม AR</t>
        </is>
      </c>
    </row>
    <row r="3">
      <c r="A3" s="3" t="inlineStr">
        <is>
          <t>timestamp</t>
        </is>
      </c>
      <c r="B3" s="3" t="inlineStr">
        <is>
          <t>name</t>
        </is>
      </c>
      <c r="C3" s="3" t="inlineStr">
        <is>
          <t>no</t>
        </is>
      </c>
      <c r="D3" s="3" t="inlineStr">
        <is>
          <t>group</t>
        </is>
      </c>
      <c r="E3" s="3" t="inlineStr">
        <is>
          <t>pre_score</t>
        </is>
      </c>
      <c r="F3" s="3" t="inlineStr">
        <is>
          <t>pre_percent</t>
        </is>
      </c>
      <c r="G3" s="3" t="inlineStr">
        <is>
          <t>post_10</t>
        </is>
      </c>
      <c r="H3" s="3" t="inlineStr">
        <is>
          <t>post_percent</t>
        </is>
      </c>
      <c r="I3" s="3" t="inlineStr">
        <is>
          <t>pass_70</t>
        </is>
      </c>
      <c r="J3" s="3" t="inlineStr">
        <is>
          <t>gain_percentage_points</t>
        </is>
      </c>
      <c r="K3" s="3" t="inlineStr">
        <is>
          <t>game_1000</t>
        </is>
      </c>
      <c r="L3" s="3" t="inlineStr">
        <is>
          <t>first_try_10</t>
        </is>
      </c>
      <c r="M3" s="3" t="inlineStr">
        <is>
          <t>attempts</t>
        </is>
      </c>
      <c r="N3" s="3" t="inlineStr">
        <is>
          <t>control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2026-08-24T08:22:41Z</dcterms:created>
  <dcterms:modified xsi:type="dcterms:W3CDTF">2026-08-24T08:22:41Z</dcterms:modified>
</cp:coreProperties>
</file>